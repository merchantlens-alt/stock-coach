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gauravjain/Downloads/"/>
    </mc:Choice>
  </mc:AlternateContent>
  <xr:revisionPtr revIDLastSave="0" documentId="13_ncr:1_{91E5AE1B-687B-1C4B-B549-0FBA5A6E2E9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FP Details" sheetId="1" r:id="rId1"/>
    <sheet name="Dropdown List - Do Not Delete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4H/TS8U/GEFJEBDYcjr6W2IegBXcvzfhB1rdYMbwJn0="/>
    </ext>
  </extLst>
</workbook>
</file>

<file path=xl/calcChain.xml><?xml version="1.0" encoding="utf-8"?>
<calcChain xmlns="http://schemas.openxmlformats.org/spreadsheetml/2006/main">
  <c r="F43" i="1" l="1"/>
  <c r="D43" i="1"/>
  <c r="M37" i="1"/>
  <c r="M36" i="1"/>
  <c r="D34" i="1"/>
  <c r="E32" i="1" s="1"/>
  <c r="F33" i="1"/>
  <c r="F32" i="1"/>
  <c r="F31" i="1"/>
  <c r="F30" i="1"/>
  <c r="F29" i="1"/>
  <c r="F28" i="1"/>
  <c r="F27" i="1"/>
  <c r="F26" i="1"/>
  <c r="F25" i="1"/>
  <c r="F24" i="1"/>
  <c r="F23" i="1"/>
  <c r="F22" i="1"/>
  <c r="L21" i="1"/>
  <c r="K21" i="1"/>
  <c r="F21" i="1"/>
  <c r="M20" i="1"/>
  <c r="F20" i="1"/>
  <c r="M19" i="1"/>
  <c r="F19" i="1"/>
  <c r="M18" i="1"/>
  <c r="F18" i="1"/>
  <c r="M17" i="1"/>
  <c r="F17" i="1"/>
  <c r="F16" i="1"/>
  <c r="M13" i="1"/>
  <c r="L12" i="1"/>
  <c r="K12" i="1"/>
  <c r="M11" i="1"/>
  <c r="M10" i="1"/>
  <c r="M9" i="1"/>
  <c r="M8" i="1"/>
  <c r="M7" i="1"/>
  <c r="M6" i="1"/>
  <c r="M5" i="1"/>
  <c r="F34" i="1" l="1"/>
  <c r="M21" i="1"/>
  <c r="E17" i="1"/>
  <c r="E20" i="1"/>
  <c r="E26" i="1"/>
  <c r="E16" i="1"/>
  <c r="E22" i="1"/>
  <c r="E33" i="1"/>
  <c r="E25" i="1"/>
  <c r="E29" i="1"/>
  <c r="E30" i="1"/>
  <c r="E19" i="1"/>
  <c r="M12" i="1"/>
  <c r="M14" i="1" s="1"/>
  <c r="E18" i="1"/>
  <c r="E23" i="1"/>
  <c r="E27" i="1"/>
  <c r="E31" i="1"/>
  <c r="E21" i="1"/>
  <c r="E24" i="1"/>
  <c r="E28" i="1"/>
  <c r="E34" i="1" l="1"/>
</calcChain>
</file>

<file path=xl/sharedStrings.xml><?xml version="1.0" encoding="utf-8"?>
<sst xmlns="http://schemas.openxmlformats.org/spreadsheetml/2006/main" count="283" uniqueCount="185">
  <si>
    <t>Please Fill Up The Yellow Highlighted Cells Only</t>
  </si>
  <si>
    <t>Goals</t>
  </si>
  <si>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Aptos Narrow"/>
      </rPr>
      <t xml:space="preserve">↓ </t>
    </r>
    <r>
      <rPr>
        <b/>
        <sz val="12"/>
        <color theme="1"/>
        <rFont val="Calibri"/>
        <family val="2"/>
      </rPr>
      <t>Office use only</t>
    </r>
  </si>
  <si>
    <t>Client Profile</t>
  </si>
  <si>
    <t>Name</t>
  </si>
  <si>
    <t>Occupation</t>
  </si>
  <si>
    <t>Age</t>
  </si>
  <si>
    <t>Financial Status</t>
  </si>
  <si>
    <t>Titles</t>
  </si>
  <si>
    <t>Income</t>
  </si>
  <si>
    <t>Self</t>
  </si>
  <si>
    <t>Spouse</t>
  </si>
  <si>
    <t>Total</t>
  </si>
  <si>
    <t>Retirement</t>
  </si>
  <si>
    <t>Yearly Expense If Retired Today</t>
  </si>
  <si>
    <t>Goal specific notes, assumptions, etc</t>
  </si>
  <si>
    <t>Inflation Assumed</t>
  </si>
  <si>
    <t>Plan Owner</t>
  </si>
  <si>
    <t>Service</t>
  </si>
  <si>
    <t>Financially Independent</t>
  </si>
  <si>
    <t>Mr.</t>
  </si>
  <si>
    <t>In hand salary per month</t>
  </si>
  <si>
    <t>Retirement Age</t>
  </si>
  <si>
    <t>%</t>
  </si>
  <si>
    <t>Financially Dependent</t>
  </si>
  <si>
    <t>Mrs.</t>
  </si>
  <si>
    <t>RSU / Stock Option</t>
  </si>
  <si>
    <t>Life Expectancy</t>
  </si>
  <si>
    <t>Kid-1</t>
  </si>
  <si>
    <t>Ms.</t>
  </si>
  <si>
    <t>NPS Contribution (self + employer)</t>
  </si>
  <si>
    <t>Kid-2</t>
  </si>
  <si>
    <t>EPF contribution (self + employer)</t>
  </si>
  <si>
    <t>Children's Education</t>
  </si>
  <si>
    <t>Years in hand to achieve goal</t>
  </si>
  <si>
    <t>Amount Required As Of Today</t>
  </si>
  <si>
    <t>Kid-3</t>
  </si>
  <si>
    <t>Class:</t>
  </si>
  <si>
    <t>&lt; Select &gt;</t>
  </si>
  <si>
    <t>ESPP</t>
  </si>
  <si>
    <t>1st Kid's Graduation</t>
  </si>
  <si>
    <t>Father</t>
  </si>
  <si>
    <t>Rental Income</t>
  </si>
  <si>
    <t>1st Kid's PG</t>
  </si>
  <si>
    <t>Mother</t>
  </si>
  <si>
    <t>Any other income per month</t>
  </si>
  <si>
    <t>2nd Kid's Graduation</t>
  </si>
  <si>
    <t>Residential Status:</t>
  </si>
  <si>
    <t>Resident Indian</t>
  </si>
  <si>
    <t>City or Country →</t>
  </si>
  <si>
    <t>2nd Kid's PG</t>
  </si>
  <si>
    <t>Bonus per year</t>
  </si>
  <si>
    <t>3rd Kid's Graduation</t>
  </si>
  <si>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Aptos Narrow"/>
      </rPr>
      <t xml:space="preserve">↓ </t>
    </r>
    <r>
      <rPr>
        <b/>
        <sz val="12"/>
        <color theme="1"/>
        <rFont val="Calibri"/>
        <family val="2"/>
      </rPr>
      <t>Office Use Only</t>
    </r>
  </si>
  <si>
    <t xml:space="preserve">Expected Income Growth </t>
  </si>
  <si>
    <t>←Average</t>
  </si>
  <si>
    <t>3rd Kid's PG</t>
  </si>
  <si>
    <t>Assets (including spouse)</t>
  </si>
  <si>
    <t>Comments</t>
  </si>
  <si>
    <t>Current Value</t>
  </si>
  <si>
    <t>Allocation</t>
  </si>
  <si>
    <t>Stock Portfolio</t>
  </si>
  <si>
    <t>Expenses</t>
  </si>
  <si>
    <t xml:space="preserve">Self </t>
  </si>
  <si>
    <t>Children's Marriage</t>
  </si>
  <si>
    <t>Stock ESOPs / RSUs</t>
  </si>
  <si>
    <t>Monthly Household Expenses</t>
  </si>
  <si>
    <t>1st Kid</t>
  </si>
  <si>
    <t>Mutual Fund - Equity</t>
  </si>
  <si>
    <t>Travel Expenses</t>
  </si>
  <si>
    <t>2nd Kid</t>
  </si>
  <si>
    <t>Mutual Fund - Hybrid</t>
  </si>
  <si>
    <t>Monthly EMIs</t>
  </si>
  <si>
    <t>3rd Kid</t>
  </si>
  <si>
    <t>NPS</t>
  </si>
  <si>
    <t>Any Other Expenses</t>
  </si>
  <si>
    <t>Mutual Fund - Debt</t>
  </si>
  <si>
    <t>Total Monthly Expenses</t>
  </si>
  <si>
    <t>House</t>
  </si>
  <si>
    <t>EPF</t>
  </si>
  <si>
    <t>PPF</t>
  </si>
  <si>
    <t>Insurance</t>
  </si>
  <si>
    <t>Fixed Deposits</t>
  </si>
  <si>
    <t>Life Insurance Cover</t>
  </si>
  <si>
    <t>Car</t>
  </si>
  <si>
    <t>SSY</t>
  </si>
  <si>
    <t>Health Insurance Cover</t>
  </si>
  <si>
    <t>Vehicle Replacement 1</t>
  </si>
  <si>
    <t>Savings A/c Balance</t>
  </si>
  <si>
    <t>Health Insurance- For the whole family?</t>
  </si>
  <si>
    <t>Yes</t>
  </si>
  <si>
    <t>Yes/No</t>
  </si>
  <si>
    <t>Vehicle Replacement 2</t>
  </si>
  <si>
    <t>Gold</t>
  </si>
  <si>
    <t>Health Insurance- Parents insured?</t>
  </si>
  <si>
    <t>Vehicle Replacement 3</t>
  </si>
  <si>
    <t>SGBs</t>
  </si>
  <si>
    <t>Plot - Real Estate</t>
  </si>
  <si>
    <t xml:space="preserve">Pension </t>
  </si>
  <si>
    <t>Holiday / Vacation</t>
  </si>
  <si>
    <t>Flat - Real Estate</t>
  </si>
  <si>
    <t>Are you a govt employee?</t>
  </si>
  <si>
    <t>No</t>
  </si>
  <si>
    <t>Any Other Asset 1</t>
  </si>
  <si>
    <t>Eligible for pension?</t>
  </si>
  <si>
    <t>Is it a recurring Goal?</t>
  </si>
  <si>
    <t>If Yes, Frequency in years →</t>
  </si>
  <si>
    <t>Any Other Asset 2</t>
  </si>
  <si>
    <t>Any other pension source</t>
  </si>
  <si>
    <t>Any Other Asset 3</t>
  </si>
  <si>
    <t>Approximate amount?</t>
  </si>
  <si>
    <t>Parents Support Goal</t>
  </si>
  <si>
    <t>RSUs</t>
  </si>
  <si>
    <t>Liabilities</t>
  </si>
  <si>
    <t>Tenure Left (Years)</t>
  </si>
  <si>
    <t>Outstanding Amount</t>
  </si>
  <si>
    <t>Interest Rate</t>
  </si>
  <si>
    <t>EMI</t>
  </si>
  <si>
    <t>Vested</t>
  </si>
  <si>
    <t>Any Other Goal 1</t>
  </si>
  <si>
    <t>Home Loan</t>
  </si>
  <si>
    <t>Not Vested</t>
  </si>
  <si>
    <t>Car Loan</t>
  </si>
  <si>
    <t>Vesting Duration (in years)</t>
  </si>
  <si>
    <t>Personal Loan</t>
  </si>
  <si>
    <t>Any Other Goal 2</t>
  </si>
  <si>
    <t>Any Other Liability 1</t>
  </si>
  <si>
    <t>Any Other Liability 2</t>
  </si>
  <si>
    <t>Any Other Liability 3</t>
  </si>
  <si>
    <t>Any Other Goal 3</t>
  </si>
  <si>
    <t>SIP</t>
  </si>
  <si>
    <t>Residential Status</t>
  </si>
  <si>
    <t>Parents</t>
  </si>
  <si>
    <t>Title</t>
  </si>
  <si>
    <t>NRI</t>
  </si>
  <si>
    <t>Home</t>
  </si>
  <si>
    <t>Extra Wealth</t>
  </si>
  <si>
    <t>Emergency Fund</t>
  </si>
  <si>
    <t>Child Edu</t>
  </si>
  <si>
    <t>Child Marriage</t>
  </si>
  <si>
    <t>Real Estate</t>
  </si>
  <si>
    <t>All Extra Savings</t>
  </si>
  <si>
    <t>Rajat Mahajan</t>
  </si>
  <si>
    <t>Isha Gupta</t>
  </si>
  <si>
    <t>Ayansh Mahajan</t>
  </si>
  <si>
    <t>Tagged</t>
  </si>
  <si>
    <t>2.5 Cr - MF, EPF</t>
  </si>
  <si>
    <t>SIP needed</t>
  </si>
  <si>
    <t>50L - MF</t>
  </si>
  <si>
    <t>30L. - MF</t>
  </si>
  <si>
    <t>10L - Savings</t>
  </si>
  <si>
    <t>Home - 4.2 Cr</t>
  </si>
  <si>
    <t>EMI going on</t>
  </si>
  <si>
    <t>Payment of Home - about 50L</t>
  </si>
  <si>
    <t>Sell Bengaluru Studio Apt</t>
  </si>
  <si>
    <t>Current Gold</t>
  </si>
  <si>
    <t>Asset Allocation</t>
  </si>
  <si>
    <t>Domestic Equity - MF &amp; Stocks</t>
  </si>
  <si>
    <t>Debt</t>
  </si>
  <si>
    <t>No. Allocation higher than required</t>
  </si>
  <si>
    <t>Suggested MF</t>
  </si>
  <si>
    <t>Parag Parikh Flexicap Fund</t>
  </si>
  <si>
    <t>HDFC Small Cap Fund</t>
  </si>
  <si>
    <t>ICICI Pru Large &amp; Midcap Fund</t>
  </si>
  <si>
    <t>Kotak Multicap Fund</t>
  </si>
  <si>
    <t>Nippon India Growth Midcap Fund</t>
  </si>
  <si>
    <t>Re-align Funds. Continue EPF</t>
  </si>
  <si>
    <t>Only EPF contri</t>
  </si>
  <si>
    <t>Re-align Funds</t>
  </si>
  <si>
    <t>%age allocatipn</t>
  </si>
  <si>
    <t>Re-algin Funds</t>
  </si>
  <si>
    <t>Stocks</t>
  </si>
  <si>
    <t xml:space="preserve">Increase to 20L. </t>
  </si>
  <si>
    <t>Invest as below</t>
  </si>
  <si>
    <t>Goal</t>
  </si>
  <si>
    <t>Gold - SBI Gold Fund</t>
  </si>
  <si>
    <t>Intl Equity - DSP Global Equity Fund</t>
  </si>
  <si>
    <t xml:space="preserve">Important - </t>
  </si>
  <si>
    <t>Studio Apt</t>
  </si>
  <si>
    <t>Retirement Calculations</t>
  </si>
  <si>
    <t>Keep home, sell rest</t>
  </si>
  <si>
    <t>Sell Studio.</t>
  </si>
  <si>
    <t>Do not buy any more Real Estate as of now</t>
  </si>
  <si>
    <t>%age - Target after 5 years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</si>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</sst>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#,##0_);[Red]\(&quot;₹&quot;#,##0\)"/>
    <numFmt numFmtId="164" formatCode="0.0%"/>
    <numFmt numFmtId="165" formatCode="0.00\ &quot;Years&quot;"/>
  </numFmts>
  <fonts count="9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rgb="FFC55A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AFFD5"/>
        <bgColor rgb="FFFAFFD5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6" fontId="1" fillId="2" borderId="5" xfId="0" applyNumberFormat="1" applyFont="1" applyFill="1" applyBorder="1" applyAlignment="1">
      <alignment horizontal="center" vertical="center" wrapText="1"/>
    </xf>
    <xf numFmtId="6" fontId="1" fillId="0" borderId="5" xfId="0" applyNumberFormat="1" applyFont="1" applyBorder="1" applyAlignment="1">
      <alignment horizontal="center" vertical="center"/>
    </xf>
    <xf numFmtId="6" fontId="1" fillId="2" borderId="5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6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9" fontId="1" fillId="2" borderId="5" xfId="0" applyNumberFormat="1" applyFont="1" applyFill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6" fontId="1" fillId="0" borderId="6" xfId="0" applyNumberFormat="1" applyFont="1" applyBorder="1" applyAlignment="1">
      <alignment horizontal="center" vertical="center"/>
    </xf>
    <xf numFmtId="6" fontId="1" fillId="0" borderId="0" xfId="0" applyNumberFormat="1" applyFont="1" applyAlignment="1">
      <alignment horizontal="left" vertical="center"/>
    </xf>
    <xf numFmtId="6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6" fontId="2" fillId="0" borderId="11" xfId="0" applyNumberFormat="1" applyFont="1" applyBorder="1" applyAlignment="1">
      <alignment horizontal="center" vertical="center"/>
    </xf>
    <xf numFmtId="6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0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165" fontId="2" fillId="0" borderId="5" xfId="0" applyNumberFormat="1" applyFont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2" borderId="0" xfId="0" applyFont="1" applyFill="1" applyAlignment="1">
      <alignment horizontal="center" vertical="center" wrapText="1"/>
    </xf>
    <xf numFmtId="9" fontId="1" fillId="0" borderId="0" xfId="0" applyNumberFormat="1" applyFont="1" applyAlignment="1">
      <alignment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2" fillId="5" borderId="12" xfId="0" applyFont="1" applyFill="1" applyBorder="1" applyAlignment="1">
      <alignment vertical="center"/>
    </xf>
    <xf numFmtId="164" fontId="1" fillId="5" borderId="12" xfId="0" applyNumberFormat="1" applyFont="1" applyFill="1" applyBorder="1" applyAlignment="1">
      <alignment vertical="center"/>
    </xf>
    <xf numFmtId="9" fontId="1" fillId="5" borderId="12" xfId="0" applyNumberFormat="1" applyFont="1" applyFill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9" fontId="1" fillId="5" borderId="0" xfId="0" applyNumberFormat="1" applyFont="1" applyFill="1" applyAlignment="1">
      <alignment vertical="center"/>
    </xf>
    <xf numFmtId="0" fontId="2" fillId="4" borderId="9" xfId="0" applyFont="1" applyFill="1" applyBorder="1" applyAlignment="1">
      <alignment horizontal="left" vertical="center"/>
    </xf>
    <xf numFmtId="0" fontId="3" fillId="0" borderId="10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0</xdr:row>
      <xdr:rowOff>0</xdr:rowOff>
    </xdr:from>
    <xdr:ext cx="3857625" cy="504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25657</xdr:colOff>
      <xdr:row>46</xdr:row>
      <xdr:rowOff>0</xdr:rowOff>
    </xdr:from>
    <xdr:to>
      <xdr:col>8</xdr:col>
      <xdr:colOff>1793244</xdr:colOff>
      <xdr:row>72</xdr:row>
      <xdr:rowOff>141110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DEF4FC-9FD6-4E65-6F2C-17FBAB37F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20910" y="9852121"/>
          <a:ext cx="6013748" cy="5477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A3" zoomScale="99" workbookViewId="0">
      <selection activeCell="C78" sqref="C78"/>
    </sheetView>
  </sheetViews>
  <sheetFormatPr baseColWidth="10" defaultColWidth="14.5" defaultRowHeight="15" customHeight="1" x14ac:dyDescent="0.2"/>
  <cols>
    <col min="1" max="1" width="3" customWidth="1"/>
    <col min="2" max="2" width="30.83203125" bestFit="1" customWidth="1"/>
    <col min="3" max="3" width="24.1640625" bestFit="1" customWidth="1"/>
    <col min="4" max="5" width="30.6640625" bestFit="1" customWidth="1"/>
    <col min="6" max="6" width="23.6640625" customWidth="1"/>
    <col min="7" max="7" width="16" bestFit="1" customWidth="1"/>
    <col min="8" max="8" width="16" customWidth="1"/>
    <col min="9" max="9" width="39" bestFit="1" customWidth="1"/>
    <col min="10" max="10" width="34" customWidth="1"/>
    <col min="11" max="13" width="16.5" customWidth="1"/>
    <col min="14" max="14" width="11" customWidth="1"/>
    <col min="15" max="15" width="22.33203125" customWidth="1"/>
    <col min="16" max="16" width="29.5" customWidth="1"/>
    <col min="17" max="17" width="31.33203125" customWidth="1"/>
    <col min="18" max="18" width="36.33203125" customWidth="1"/>
    <col min="19" max="19" width="18.33203125" customWidth="1"/>
    <col min="20" max="22" width="8.83203125" customWidth="1"/>
    <col min="23" max="27" width="8.6640625" customWidth="1"/>
  </cols>
  <sheetData>
    <row r="1" spans="1:27" ht="16" x14ac:dyDescent="0.2">
      <c r="A1" s="1"/>
      <c r="B1" s="65"/>
      <c r="C1" s="66"/>
      <c r="D1" s="6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" x14ac:dyDescent="0.2">
      <c r="A2" s="1"/>
      <c r="B2" s="66"/>
      <c r="C2" s="66"/>
      <c r="D2" s="66"/>
      <c r="E2" s="1"/>
      <c r="F2" s="1"/>
      <c r="G2" s="1"/>
      <c r="H2" s="1"/>
      <c r="I2" s="1"/>
      <c r="J2" s="67" t="s">
        <v>0</v>
      </c>
      <c r="K2" s="68"/>
      <c r="L2" s="68"/>
      <c r="M2" s="6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70" t="s">
        <v>1</v>
      </c>
      <c r="P3" s="68"/>
      <c r="Q3" s="68"/>
      <c r="R3" s="68"/>
      <c r="S3" s="4" t="s">
        <v>2</v>
      </c>
      <c r="T3" s="1"/>
      <c r="U3" s="1"/>
      <c r="V3" s="1"/>
      <c r="W3" s="1"/>
      <c r="X3" s="1"/>
      <c r="Y3" s="1"/>
      <c r="Z3" s="1"/>
      <c r="AA3" s="1"/>
    </row>
    <row r="4" spans="1:27" ht="17" x14ac:dyDescent="0.2">
      <c r="A4" s="1"/>
      <c r="B4" s="5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27"/>
      <c r="I4" s="1"/>
      <c r="J4" s="7" t="s">
        <v>9</v>
      </c>
      <c r="K4" s="8" t="s">
        <v>10</v>
      </c>
      <c r="L4" s="8" t="s">
        <v>11</v>
      </c>
      <c r="M4" s="8" t="s">
        <v>12</v>
      </c>
      <c r="N4" s="1"/>
      <c r="O4" s="9" t="s">
        <v>13</v>
      </c>
      <c r="P4" s="8"/>
      <c r="Q4" s="8" t="s">
        <v>14</v>
      </c>
      <c r="R4" s="10" t="s">
        <v>15</v>
      </c>
      <c r="S4" s="11" t="s">
        <v>16</v>
      </c>
      <c r="T4" s="1"/>
      <c r="U4" s="1"/>
      <c r="V4" s="1"/>
      <c r="W4" s="1"/>
      <c r="X4" s="1"/>
      <c r="Y4" s="1"/>
      <c r="Z4" s="1"/>
      <c r="AA4" s="1"/>
    </row>
    <row r="5" spans="1:27" ht="17" x14ac:dyDescent="0.2">
      <c r="A5" s="1"/>
      <c r="B5" s="5" t="s">
        <v>17</v>
      </c>
      <c r="C5" s="12" t="s">
        <v>142</v>
      </c>
      <c r="D5" s="12" t="s">
        <v>18</v>
      </c>
      <c r="E5" s="13">
        <v>36</v>
      </c>
      <c r="F5" s="14" t="s">
        <v>19</v>
      </c>
      <c r="G5" s="13" t="s">
        <v>20</v>
      </c>
      <c r="H5" s="54"/>
      <c r="I5" s="1"/>
      <c r="J5" s="15" t="s">
        <v>21</v>
      </c>
      <c r="K5" s="16">
        <v>720000</v>
      </c>
      <c r="L5" s="16">
        <v>0</v>
      </c>
      <c r="M5" s="17">
        <f t="shared" ref="M5:M13" si="0">SUM(K5:L5)</f>
        <v>720000</v>
      </c>
      <c r="N5" s="1"/>
      <c r="O5" s="15" t="s">
        <v>22</v>
      </c>
      <c r="P5" s="14">
        <v>45</v>
      </c>
      <c r="Q5" s="18">
        <v>1800000</v>
      </c>
      <c r="R5" s="19"/>
      <c r="S5" s="20" t="s">
        <v>23</v>
      </c>
      <c r="T5" s="1"/>
      <c r="U5" s="1"/>
      <c r="V5" s="1"/>
      <c r="W5" s="1"/>
      <c r="X5" s="1"/>
      <c r="Y5" s="1"/>
      <c r="Z5" s="1"/>
      <c r="AA5" s="1"/>
    </row>
    <row r="6" spans="1:27" ht="17" x14ac:dyDescent="0.2">
      <c r="A6" s="1"/>
      <c r="B6" s="5" t="s">
        <v>11</v>
      </c>
      <c r="C6" s="12" t="s">
        <v>143</v>
      </c>
      <c r="D6" s="12"/>
      <c r="E6" s="13">
        <v>36</v>
      </c>
      <c r="F6" s="13" t="s">
        <v>19</v>
      </c>
      <c r="G6" s="13" t="s">
        <v>25</v>
      </c>
      <c r="H6" s="54"/>
      <c r="I6" s="1"/>
      <c r="J6" s="15" t="s">
        <v>26</v>
      </c>
      <c r="K6" s="16">
        <v>0</v>
      </c>
      <c r="L6" s="16">
        <v>0</v>
      </c>
      <c r="M6" s="17">
        <f t="shared" si="0"/>
        <v>0</v>
      </c>
      <c r="N6" s="1"/>
      <c r="O6" s="15" t="s">
        <v>27</v>
      </c>
      <c r="P6" s="14">
        <v>90</v>
      </c>
      <c r="Q6" s="15"/>
      <c r="R6" s="10"/>
      <c r="S6" s="21"/>
      <c r="T6" s="1"/>
      <c r="U6" s="1"/>
      <c r="V6" s="1"/>
      <c r="W6" s="1"/>
      <c r="X6" s="1"/>
      <c r="Y6" s="1"/>
      <c r="Z6" s="1"/>
      <c r="AA6" s="1"/>
    </row>
    <row r="7" spans="1:27" ht="17" x14ac:dyDescent="0.2">
      <c r="A7" s="1"/>
      <c r="B7" s="5" t="s">
        <v>28</v>
      </c>
      <c r="C7" s="12" t="s">
        <v>144</v>
      </c>
      <c r="D7" s="12"/>
      <c r="E7" s="13">
        <v>8</v>
      </c>
      <c r="F7" s="13" t="s">
        <v>24</v>
      </c>
      <c r="G7" s="13" t="s">
        <v>29</v>
      </c>
      <c r="H7" s="54"/>
      <c r="I7" s="1"/>
      <c r="J7" s="15" t="s">
        <v>30</v>
      </c>
      <c r="K7" s="16">
        <v>0</v>
      </c>
      <c r="L7" s="16">
        <v>0</v>
      </c>
      <c r="M7" s="17">
        <f t="shared" si="0"/>
        <v>0</v>
      </c>
      <c r="N7" s="1"/>
      <c r="O7" s="1"/>
      <c r="P7" s="2"/>
      <c r="Q7" s="1"/>
      <c r="R7" s="22"/>
      <c r="S7" s="23"/>
      <c r="T7" s="1"/>
      <c r="U7" s="1"/>
      <c r="V7" s="1"/>
      <c r="W7" s="1"/>
      <c r="X7" s="1"/>
      <c r="Y7" s="1"/>
      <c r="Z7" s="1"/>
      <c r="AA7" s="1"/>
    </row>
    <row r="8" spans="1:27" ht="17" x14ac:dyDescent="0.2">
      <c r="A8" s="1"/>
      <c r="B8" s="5" t="s">
        <v>31</v>
      </c>
      <c r="C8" s="12"/>
      <c r="D8" s="12"/>
      <c r="E8" s="13">
        <v>0</v>
      </c>
      <c r="F8" s="13" t="s">
        <v>38</v>
      </c>
      <c r="G8" s="13"/>
      <c r="H8" s="54"/>
      <c r="I8" s="1"/>
      <c r="J8" s="15" t="s">
        <v>32</v>
      </c>
      <c r="K8" s="16">
        <v>86000</v>
      </c>
      <c r="L8" s="16">
        <v>0</v>
      </c>
      <c r="M8" s="17">
        <f t="shared" si="0"/>
        <v>86000</v>
      </c>
      <c r="N8" s="1"/>
      <c r="O8" s="9" t="s">
        <v>33</v>
      </c>
      <c r="P8" s="8" t="s">
        <v>34</v>
      </c>
      <c r="Q8" s="8" t="s">
        <v>35</v>
      </c>
      <c r="R8" s="10" t="s">
        <v>15</v>
      </c>
      <c r="S8" s="11" t="s">
        <v>16</v>
      </c>
      <c r="T8" s="1"/>
      <c r="U8" s="1"/>
      <c r="V8" s="1"/>
      <c r="W8" s="1"/>
      <c r="X8" s="1"/>
      <c r="Y8" s="1"/>
      <c r="Z8" s="1"/>
      <c r="AA8" s="1"/>
    </row>
    <row r="9" spans="1:27" ht="17" x14ac:dyDescent="0.2">
      <c r="A9" s="1"/>
      <c r="B9" s="5" t="s">
        <v>36</v>
      </c>
      <c r="C9" s="12"/>
      <c r="D9" s="12" t="s">
        <v>37</v>
      </c>
      <c r="E9" s="13">
        <v>0</v>
      </c>
      <c r="F9" s="13" t="s">
        <v>38</v>
      </c>
      <c r="G9" s="13" t="s">
        <v>38</v>
      </c>
      <c r="H9" s="54"/>
      <c r="I9" s="1"/>
      <c r="J9" s="15" t="s">
        <v>39</v>
      </c>
      <c r="K9" s="16">
        <v>0</v>
      </c>
      <c r="L9" s="16">
        <v>0</v>
      </c>
      <c r="M9" s="17">
        <f t="shared" si="0"/>
        <v>0</v>
      </c>
      <c r="N9" s="1"/>
      <c r="O9" s="15" t="s">
        <v>40</v>
      </c>
      <c r="P9" s="14">
        <v>8</v>
      </c>
      <c r="Q9" s="18">
        <v>3500000</v>
      </c>
      <c r="R9" s="19"/>
      <c r="S9" s="20" t="s">
        <v>23</v>
      </c>
      <c r="T9" s="1"/>
      <c r="U9" s="1"/>
      <c r="V9" s="1"/>
      <c r="W9" s="1"/>
      <c r="X9" s="1"/>
      <c r="Y9" s="1"/>
      <c r="Z9" s="1"/>
      <c r="AA9" s="1"/>
    </row>
    <row r="10" spans="1:27" ht="17" x14ac:dyDescent="0.2">
      <c r="A10" s="1"/>
      <c r="B10" s="5" t="s">
        <v>41</v>
      </c>
      <c r="C10" s="12"/>
      <c r="D10" s="12"/>
      <c r="E10" s="13">
        <v>0</v>
      </c>
      <c r="F10" s="13" t="s">
        <v>38</v>
      </c>
      <c r="G10" s="13" t="s">
        <v>38</v>
      </c>
      <c r="H10" s="54"/>
      <c r="I10" s="1"/>
      <c r="J10" s="15" t="s">
        <v>42</v>
      </c>
      <c r="K10" s="16">
        <v>24000</v>
      </c>
      <c r="L10" s="16">
        <v>0</v>
      </c>
      <c r="M10" s="17">
        <f t="shared" si="0"/>
        <v>24000</v>
      </c>
      <c r="N10" s="1"/>
      <c r="O10" s="15" t="s">
        <v>43</v>
      </c>
      <c r="P10" s="14">
        <v>12</v>
      </c>
      <c r="Q10" s="18">
        <v>3500000</v>
      </c>
      <c r="R10" s="19"/>
      <c r="S10" s="20" t="s">
        <v>23</v>
      </c>
      <c r="T10" s="1"/>
      <c r="U10" s="1"/>
      <c r="V10" s="1"/>
      <c r="W10" s="1"/>
      <c r="X10" s="1"/>
      <c r="Y10" s="1"/>
      <c r="Z10" s="1"/>
      <c r="AA10" s="1"/>
    </row>
    <row r="11" spans="1:27" ht="17" x14ac:dyDescent="0.2">
      <c r="A11" s="1"/>
      <c r="B11" s="5" t="s">
        <v>44</v>
      </c>
      <c r="C11" s="12"/>
      <c r="D11" s="12"/>
      <c r="E11" s="13">
        <v>0</v>
      </c>
      <c r="F11" s="13" t="s">
        <v>38</v>
      </c>
      <c r="G11" s="13" t="s">
        <v>38</v>
      </c>
      <c r="H11" s="54"/>
      <c r="I11" s="1"/>
      <c r="J11" s="15" t="s">
        <v>45</v>
      </c>
      <c r="K11" s="16">
        <v>0</v>
      </c>
      <c r="L11" s="16">
        <v>0</v>
      </c>
      <c r="M11" s="17">
        <f t="shared" si="0"/>
        <v>0</v>
      </c>
      <c r="N11" s="1"/>
      <c r="O11" s="15" t="s">
        <v>46</v>
      </c>
      <c r="P11" s="14">
        <v>0</v>
      </c>
      <c r="Q11" s="19"/>
      <c r="R11" s="19"/>
      <c r="S11" s="20" t="s">
        <v>23</v>
      </c>
      <c r="T11" s="1"/>
      <c r="U11" s="1"/>
      <c r="V11" s="1"/>
      <c r="W11" s="1"/>
      <c r="X11" s="1"/>
      <c r="Y11" s="1"/>
      <c r="Z11" s="1"/>
      <c r="AA11" s="1"/>
    </row>
    <row r="12" spans="1:27" ht="17" x14ac:dyDescent="0.2">
      <c r="A12" s="1"/>
      <c r="B12" s="5" t="s">
        <v>47</v>
      </c>
      <c r="C12" s="13" t="s">
        <v>48</v>
      </c>
      <c r="D12" s="6" t="s">
        <v>49</v>
      </c>
      <c r="E12" s="71" t="s">
        <v>184</v>
      </c>
      <c r="F12" s="69"/>
      <c r="G12" s="1"/>
      <c r="H12" s="1"/>
      <c r="I12" s="1"/>
      <c r="J12" s="24" t="s">
        <v>12</v>
      </c>
      <c r="K12" s="25">
        <f t="shared" ref="K12:L12" si="1">SUM(K5:K11)</f>
        <v>830000</v>
      </c>
      <c r="L12" s="25">
        <f t="shared" si="1"/>
        <v>0</v>
      </c>
      <c r="M12" s="17">
        <f t="shared" si="0"/>
        <v>830000</v>
      </c>
      <c r="N12" s="1"/>
      <c r="O12" s="15" t="s">
        <v>50</v>
      </c>
      <c r="P12" s="14">
        <v>0</v>
      </c>
      <c r="Q12" s="18">
        <v>0</v>
      </c>
      <c r="R12" s="19"/>
      <c r="S12" s="20" t="s">
        <v>23</v>
      </c>
      <c r="T12" s="1"/>
      <c r="U12" s="1"/>
      <c r="V12" s="1"/>
      <c r="W12" s="1"/>
      <c r="X12" s="1"/>
      <c r="Y12" s="1"/>
      <c r="Z12" s="1"/>
      <c r="AA12" s="1"/>
    </row>
    <row r="13" spans="1:27" ht="16" x14ac:dyDescent="0.2">
      <c r="A13" s="1"/>
      <c r="B13" s="26"/>
      <c r="C13" s="27"/>
      <c r="D13" s="27"/>
      <c r="E13" s="28"/>
      <c r="F13" s="1"/>
      <c r="G13" s="1"/>
      <c r="H13" s="1"/>
      <c r="I13" s="1"/>
      <c r="J13" s="15" t="s">
        <v>51</v>
      </c>
      <c r="K13" s="16">
        <v>1000000</v>
      </c>
      <c r="L13" s="16">
        <v>0</v>
      </c>
      <c r="M13" s="17">
        <f t="shared" si="0"/>
        <v>1000000</v>
      </c>
      <c r="N13" s="1"/>
      <c r="O13" s="15" t="s">
        <v>52</v>
      </c>
      <c r="P13" s="14">
        <v>0</v>
      </c>
      <c r="Q13" s="18">
        <v>0</v>
      </c>
      <c r="R13" s="19"/>
      <c r="S13" s="20" t="s">
        <v>23</v>
      </c>
      <c r="T13" s="1"/>
      <c r="U13" s="1"/>
      <c r="V13" s="1"/>
      <c r="W13" s="1"/>
      <c r="X13" s="1"/>
      <c r="Y13" s="1"/>
      <c r="Z13" s="1"/>
      <c r="AA13" s="1"/>
    </row>
    <row r="14" spans="1:27" ht="17" x14ac:dyDescent="0.2">
      <c r="A14" s="1"/>
      <c r="B14" s="1"/>
      <c r="C14" s="1"/>
      <c r="D14" s="1"/>
      <c r="E14" s="1"/>
      <c r="F14" s="4" t="s">
        <v>53</v>
      </c>
      <c r="G14" s="29"/>
      <c r="H14" s="29"/>
      <c r="I14" s="1"/>
      <c r="J14" s="15" t="s">
        <v>54</v>
      </c>
      <c r="K14" s="30">
        <v>7.0000000000000007E-2</v>
      </c>
      <c r="L14" s="30">
        <v>0</v>
      </c>
      <c r="M14" s="31">
        <f>K14*K12/M12+L14*L12/M12</f>
        <v>7.0000000000000007E-2</v>
      </c>
      <c r="N14" s="1" t="s">
        <v>55</v>
      </c>
      <c r="O14" s="15" t="s">
        <v>56</v>
      </c>
      <c r="P14" s="14">
        <v>0</v>
      </c>
      <c r="Q14" s="18">
        <v>0</v>
      </c>
      <c r="R14" s="19"/>
      <c r="S14" s="20" t="s">
        <v>23</v>
      </c>
      <c r="T14" s="1"/>
      <c r="U14" s="1"/>
      <c r="V14" s="1"/>
      <c r="W14" s="1"/>
      <c r="X14" s="1"/>
      <c r="Y14" s="1"/>
      <c r="Z14" s="1"/>
      <c r="AA14" s="1"/>
    </row>
    <row r="15" spans="1:27" ht="17" x14ac:dyDescent="0.2">
      <c r="A15" s="1"/>
      <c r="B15" s="5" t="s">
        <v>57</v>
      </c>
      <c r="C15" s="6" t="s">
        <v>58</v>
      </c>
      <c r="D15" s="6" t="s">
        <v>59</v>
      </c>
      <c r="E15" s="3" t="s">
        <v>60</v>
      </c>
      <c r="F15" s="11" t="s">
        <v>59</v>
      </c>
      <c r="G15" s="29"/>
      <c r="H15" s="29"/>
      <c r="I15" s="1"/>
      <c r="J15" s="1"/>
      <c r="K15" s="1"/>
      <c r="L15" s="1"/>
      <c r="M15" s="2"/>
      <c r="N15" s="1"/>
      <c r="O15" s="1"/>
      <c r="P15" s="2"/>
      <c r="Q15" s="1"/>
      <c r="R15" s="22"/>
      <c r="S15" s="23"/>
      <c r="T15" s="1"/>
      <c r="U15" s="1"/>
      <c r="V15" s="1"/>
      <c r="W15" s="1"/>
      <c r="X15" s="1"/>
      <c r="Y15" s="1"/>
      <c r="Z15" s="1"/>
      <c r="AA15" s="1"/>
    </row>
    <row r="16" spans="1:27" ht="17" x14ac:dyDescent="0.2">
      <c r="A16" s="1"/>
      <c r="B16" s="32" t="s">
        <v>61</v>
      </c>
      <c r="C16" s="12"/>
      <c r="D16" s="16"/>
      <c r="E16" s="33">
        <f t="shared" ref="E16:E33" si="2">D16/$D$34</f>
        <v>0</v>
      </c>
      <c r="F16" s="34">
        <f t="shared" ref="F16:F33" si="3">D16</f>
        <v>0</v>
      </c>
      <c r="G16" s="35"/>
      <c r="H16" s="35"/>
      <c r="I16" s="1"/>
      <c r="J16" s="7" t="s">
        <v>62</v>
      </c>
      <c r="K16" s="8" t="s">
        <v>63</v>
      </c>
      <c r="L16" s="8" t="s">
        <v>11</v>
      </c>
      <c r="M16" s="8" t="s">
        <v>12</v>
      </c>
      <c r="N16" s="1"/>
      <c r="O16" s="9" t="s">
        <v>64</v>
      </c>
      <c r="P16" s="8" t="s">
        <v>34</v>
      </c>
      <c r="Q16" s="8" t="s">
        <v>35</v>
      </c>
      <c r="R16" s="10" t="s">
        <v>15</v>
      </c>
      <c r="S16" s="11" t="s">
        <v>16</v>
      </c>
      <c r="T16" s="1"/>
      <c r="U16" s="1"/>
      <c r="V16" s="1"/>
      <c r="W16" s="1"/>
      <c r="X16" s="1"/>
      <c r="Y16" s="1"/>
      <c r="Z16" s="1"/>
      <c r="AA16" s="1"/>
    </row>
    <row r="17" spans="1:27" ht="17" x14ac:dyDescent="0.2">
      <c r="A17" s="1"/>
      <c r="B17" s="32" t="s">
        <v>65</v>
      </c>
      <c r="C17" s="12"/>
      <c r="D17" s="16"/>
      <c r="E17" s="33">
        <f t="shared" si="2"/>
        <v>0</v>
      </c>
      <c r="F17" s="34">
        <f t="shared" si="3"/>
        <v>0</v>
      </c>
      <c r="G17" s="35"/>
      <c r="H17" s="35"/>
      <c r="I17" s="1"/>
      <c r="J17" s="15" t="s">
        <v>66</v>
      </c>
      <c r="K17" s="16">
        <v>120000</v>
      </c>
      <c r="L17" s="16">
        <v>0</v>
      </c>
      <c r="M17" s="17">
        <f t="shared" ref="M17:M20" si="4">SUM(K17:L17)</f>
        <v>120000</v>
      </c>
      <c r="N17" s="1"/>
      <c r="O17" s="15" t="s">
        <v>67</v>
      </c>
      <c r="P17" s="14">
        <v>11</v>
      </c>
      <c r="Q17" s="18">
        <v>5000000</v>
      </c>
      <c r="R17" s="19"/>
      <c r="S17" s="20" t="s">
        <v>23</v>
      </c>
      <c r="T17" s="1"/>
      <c r="U17" s="1"/>
      <c r="V17" s="1"/>
      <c r="W17" s="1"/>
      <c r="X17" s="1"/>
      <c r="Y17" s="1"/>
      <c r="Z17" s="1"/>
      <c r="AA17" s="1"/>
    </row>
    <row r="18" spans="1:27" ht="17" x14ac:dyDescent="0.2">
      <c r="A18" s="1"/>
      <c r="B18" s="32" t="s">
        <v>68</v>
      </c>
      <c r="C18" s="12"/>
      <c r="D18" s="16">
        <v>35000000</v>
      </c>
      <c r="E18" s="33">
        <f t="shared" si="2"/>
        <v>0.38251366120218577</v>
      </c>
      <c r="F18" s="34">
        <f t="shared" si="3"/>
        <v>35000000</v>
      </c>
      <c r="G18" s="35"/>
      <c r="H18" s="35"/>
      <c r="I18" s="1"/>
      <c r="J18" s="15" t="s">
        <v>69</v>
      </c>
      <c r="K18" s="16">
        <v>25000</v>
      </c>
      <c r="L18" s="16">
        <v>0</v>
      </c>
      <c r="M18" s="17">
        <f t="shared" si="4"/>
        <v>25000</v>
      </c>
      <c r="N18" s="1"/>
      <c r="O18" s="15" t="s">
        <v>70</v>
      </c>
      <c r="P18" s="14">
        <v>11</v>
      </c>
      <c r="Q18" s="18"/>
      <c r="R18" s="19"/>
      <c r="S18" s="20" t="s">
        <v>23</v>
      </c>
      <c r="T18" s="1"/>
      <c r="U18" s="1"/>
      <c r="V18" s="1"/>
      <c r="W18" s="1"/>
      <c r="X18" s="1"/>
      <c r="Y18" s="1"/>
      <c r="Z18" s="1"/>
      <c r="AA18" s="1"/>
    </row>
    <row r="19" spans="1:27" ht="17" x14ac:dyDescent="0.2">
      <c r="A19" s="1"/>
      <c r="B19" s="32" t="s">
        <v>71</v>
      </c>
      <c r="C19" s="12"/>
      <c r="D19" s="16"/>
      <c r="E19" s="33">
        <f t="shared" si="2"/>
        <v>0</v>
      </c>
      <c r="F19" s="34">
        <f t="shared" si="3"/>
        <v>0</v>
      </c>
      <c r="G19" s="35"/>
      <c r="H19" s="35"/>
      <c r="I19" s="1"/>
      <c r="J19" s="15" t="s">
        <v>72</v>
      </c>
      <c r="K19" s="16">
        <v>215000</v>
      </c>
      <c r="L19" s="16">
        <v>0</v>
      </c>
      <c r="M19" s="17">
        <f t="shared" si="4"/>
        <v>215000</v>
      </c>
      <c r="N19" s="1"/>
      <c r="O19" s="15" t="s">
        <v>73</v>
      </c>
      <c r="P19" s="14">
        <v>0</v>
      </c>
      <c r="Q19" s="18">
        <v>0</v>
      </c>
      <c r="R19" s="19"/>
      <c r="S19" s="20" t="s">
        <v>23</v>
      </c>
      <c r="T19" s="1"/>
      <c r="U19" s="1"/>
      <c r="V19" s="1"/>
      <c r="W19" s="1"/>
      <c r="X19" s="1"/>
      <c r="Y19" s="1"/>
      <c r="Z19" s="1"/>
      <c r="AA19" s="1"/>
    </row>
    <row r="20" spans="1:27" ht="17" x14ac:dyDescent="0.2">
      <c r="A20" s="1"/>
      <c r="B20" s="32" t="s">
        <v>74</v>
      </c>
      <c r="C20" s="12"/>
      <c r="D20" s="16"/>
      <c r="E20" s="33">
        <f t="shared" si="2"/>
        <v>0</v>
      </c>
      <c r="F20" s="34">
        <f t="shared" si="3"/>
        <v>0</v>
      </c>
      <c r="G20" s="35"/>
      <c r="H20" s="35"/>
      <c r="I20" s="1"/>
      <c r="J20" s="15" t="s">
        <v>75</v>
      </c>
      <c r="K20" s="16">
        <v>0</v>
      </c>
      <c r="L20" s="16">
        <v>0</v>
      </c>
      <c r="M20" s="17">
        <f t="shared" si="4"/>
        <v>0</v>
      </c>
      <c r="N20" s="1"/>
      <c r="O20" s="1"/>
      <c r="P20" s="2"/>
      <c r="Q20" s="1"/>
      <c r="R20" s="22"/>
      <c r="S20" s="23"/>
      <c r="T20" s="1"/>
      <c r="U20" s="1"/>
      <c r="V20" s="1"/>
      <c r="W20" s="1"/>
      <c r="X20" s="1"/>
      <c r="Y20" s="1"/>
      <c r="Z20" s="1"/>
      <c r="AA20" s="1"/>
    </row>
    <row r="21" spans="1:27" ht="17" x14ac:dyDescent="0.2">
      <c r="A21" s="1"/>
      <c r="B21" s="32" t="s">
        <v>76</v>
      </c>
      <c r="C21" s="12"/>
      <c r="D21" s="16"/>
      <c r="E21" s="33">
        <f t="shared" si="2"/>
        <v>0</v>
      </c>
      <c r="F21" s="34">
        <f t="shared" si="3"/>
        <v>0</v>
      </c>
      <c r="G21" s="35"/>
      <c r="H21" s="35"/>
      <c r="I21" s="35"/>
      <c r="J21" s="24" t="s">
        <v>77</v>
      </c>
      <c r="K21" s="25">
        <f t="shared" ref="K21:L21" si="5">SUM(K14:K20)</f>
        <v>360000.07</v>
      </c>
      <c r="L21" s="25">
        <f t="shared" si="5"/>
        <v>0</v>
      </c>
      <c r="M21" s="36">
        <f>SUM(M17:M20)</f>
        <v>360000</v>
      </c>
      <c r="N21" s="1"/>
      <c r="O21" s="63" t="s">
        <v>78</v>
      </c>
      <c r="P21" s="8" t="s">
        <v>34</v>
      </c>
      <c r="Q21" s="8" t="s">
        <v>35</v>
      </c>
      <c r="R21" s="10" t="s">
        <v>15</v>
      </c>
      <c r="S21" s="11" t="s">
        <v>16</v>
      </c>
      <c r="T21" s="1"/>
      <c r="U21" s="1"/>
      <c r="V21" s="1"/>
      <c r="W21" s="1"/>
      <c r="X21" s="1"/>
      <c r="Y21" s="1"/>
      <c r="Z21" s="1"/>
      <c r="AA21" s="1"/>
    </row>
    <row r="22" spans="1:27" ht="17" x14ac:dyDescent="0.2">
      <c r="A22" s="1"/>
      <c r="B22" s="32" t="s">
        <v>79</v>
      </c>
      <c r="C22" s="12"/>
      <c r="D22" s="16">
        <v>5000000</v>
      </c>
      <c r="E22" s="33">
        <f t="shared" si="2"/>
        <v>5.4644808743169397E-2</v>
      </c>
      <c r="F22" s="34">
        <f t="shared" si="3"/>
        <v>5000000</v>
      </c>
      <c r="G22" s="35"/>
      <c r="H22" s="35"/>
      <c r="I22" s="1"/>
      <c r="J22" s="1"/>
      <c r="K22" s="1"/>
      <c r="L22" s="1"/>
      <c r="M22" s="1"/>
      <c r="N22" s="1"/>
      <c r="O22" s="64"/>
      <c r="P22" s="14">
        <v>10</v>
      </c>
      <c r="Q22" s="18">
        <v>0</v>
      </c>
      <c r="R22" s="19"/>
      <c r="S22" s="20" t="s">
        <v>23</v>
      </c>
      <c r="T22" s="1"/>
      <c r="U22" s="1"/>
      <c r="V22" s="1"/>
      <c r="W22" s="1"/>
      <c r="X22" s="1"/>
      <c r="Y22" s="1"/>
      <c r="Z22" s="1"/>
      <c r="AA22" s="1"/>
    </row>
    <row r="23" spans="1:27" ht="17" x14ac:dyDescent="0.2">
      <c r="A23" s="1"/>
      <c r="B23" s="32" t="s">
        <v>80</v>
      </c>
      <c r="C23" s="12"/>
      <c r="D23" s="16"/>
      <c r="E23" s="33">
        <f t="shared" si="2"/>
        <v>0</v>
      </c>
      <c r="F23" s="34">
        <f t="shared" si="3"/>
        <v>0</v>
      </c>
      <c r="G23" s="35"/>
      <c r="H23" s="35"/>
      <c r="I23" s="1"/>
      <c r="J23" s="7" t="s">
        <v>81</v>
      </c>
      <c r="K23" s="8" t="s">
        <v>63</v>
      </c>
      <c r="L23" s="8" t="s">
        <v>11</v>
      </c>
      <c r="M23" s="1"/>
      <c r="N23" s="1"/>
      <c r="O23" s="1"/>
      <c r="P23" s="2"/>
      <c r="Q23" s="1"/>
      <c r="R23" s="22"/>
      <c r="S23" s="23"/>
      <c r="T23" s="1"/>
      <c r="U23" s="1"/>
      <c r="V23" s="1"/>
      <c r="W23" s="1"/>
      <c r="X23" s="1"/>
      <c r="Y23" s="1"/>
      <c r="Z23" s="1"/>
      <c r="AA23" s="1"/>
    </row>
    <row r="24" spans="1:27" ht="17" x14ac:dyDescent="0.2">
      <c r="A24" s="1"/>
      <c r="B24" s="32" t="s">
        <v>82</v>
      </c>
      <c r="C24" s="12"/>
      <c r="D24" s="16"/>
      <c r="E24" s="33">
        <f t="shared" si="2"/>
        <v>0</v>
      </c>
      <c r="F24" s="34">
        <f t="shared" si="3"/>
        <v>0</v>
      </c>
      <c r="G24" s="35"/>
      <c r="H24" s="35"/>
      <c r="I24" s="1"/>
      <c r="J24" s="15" t="s">
        <v>83</v>
      </c>
      <c r="K24" s="16">
        <v>0</v>
      </c>
      <c r="L24" s="16">
        <v>0</v>
      </c>
      <c r="M24" s="1"/>
      <c r="N24" s="1"/>
      <c r="O24" s="9" t="s">
        <v>84</v>
      </c>
      <c r="P24" s="8" t="s">
        <v>34</v>
      </c>
      <c r="Q24" s="8" t="s">
        <v>35</v>
      </c>
      <c r="R24" s="10" t="s">
        <v>15</v>
      </c>
      <c r="S24" s="11" t="s">
        <v>16</v>
      </c>
      <c r="T24" s="1"/>
      <c r="U24" s="1"/>
      <c r="V24" s="1"/>
      <c r="W24" s="1"/>
      <c r="X24" s="1"/>
      <c r="Y24" s="1"/>
      <c r="Z24" s="1"/>
      <c r="AA24" s="1"/>
    </row>
    <row r="25" spans="1:27" ht="17" x14ac:dyDescent="0.2">
      <c r="A25" s="1"/>
      <c r="B25" s="32" t="s">
        <v>85</v>
      </c>
      <c r="C25" s="12"/>
      <c r="D25" s="16"/>
      <c r="E25" s="33">
        <f t="shared" si="2"/>
        <v>0</v>
      </c>
      <c r="F25" s="34">
        <f t="shared" si="3"/>
        <v>0</v>
      </c>
      <c r="G25" s="35"/>
      <c r="H25" s="35"/>
      <c r="I25" s="1"/>
      <c r="J25" s="15" t="s">
        <v>86</v>
      </c>
      <c r="K25" s="16">
        <v>2000000</v>
      </c>
      <c r="L25" s="16">
        <v>0</v>
      </c>
      <c r="M25" s="1"/>
      <c r="N25" s="1"/>
      <c r="O25" s="15" t="s">
        <v>87</v>
      </c>
      <c r="P25" s="14">
        <v>10</v>
      </c>
      <c r="Q25" s="18">
        <v>0</v>
      </c>
      <c r="R25" s="19"/>
      <c r="S25" s="20" t="s">
        <v>23</v>
      </c>
      <c r="T25" s="1"/>
      <c r="U25" s="1"/>
      <c r="V25" s="1"/>
      <c r="W25" s="1"/>
      <c r="X25" s="1"/>
      <c r="Y25" s="1"/>
      <c r="Z25" s="1"/>
      <c r="AA25" s="1"/>
    </row>
    <row r="26" spans="1:27" ht="17" x14ac:dyDescent="0.2">
      <c r="A26" s="1"/>
      <c r="B26" s="32" t="s">
        <v>88</v>
      </c>
      <c r="C26" s="12"/>
      <c r="D26" s="16">
        <v>1000000</v>
      </c>
      <c r="E26" s="33">
        <f t="shared" si="2"/>
        <v>1.092896174863388E-2</v>
      </c>
      <c r="F26" s="34">
        <f t="shared" si="3"/>
        <v>1000000</v>
      </c>
      <c r="G26" s="35"/>
      <c r="H26" s="35"/>
      <c r="I26" s="1"/>
      <c r="J26" s="15" t="s">
        <v>89</v>
      </c>
      <c r="K26" s="14" t="s">
        <v>90</v>
      </c>
      <c r="L26" s="14" t="s">
        <v>91</v>
      </c>
      <c r="M26" s="1"/>
      <c r="N26" s="1"/>
      <c r="O26" s="15" t="s">
        <v>92</v>
      </c>
      <c r="P26" s="14">
        <v>15</v>
      </c>
      <c r="Q26" s="18">
        <v>0</v>
      </c>
      <c r="R26" s="19"/>
      <c r="S26" s="20" t="s">
        <v>23</v>
      </c>
      <c r="T26" s="1"/>
      <c r="U26" s="1"/>
      <c r="V26" s="1"/>
      <c r="W26" s="1"/>
      <c r="X26" s="1"/>
      <c r="Y26" s="1"/>
      <c r="Z26" s="1"/>
      <c r="AA26" s="1"/>
    </row>
    <row r="27" spans="1:27" ht="17" x14ac:dyDescent="0.2">
      <c r="A27" s="1"/>
      <c r="B27" s="32" t="s">
        <v>93</v>
      </c>
      <c r="C27" s="12"/>
      <c r="D27" s="16">
        <v>3000000</v>
      </c>
      <c r="E27" s="33">
        <f t="shared" si="2"/>
        <v>3.2786885245901641E-2</v>
      </c>
      <c r="F27" s="34">
        <f t="shared" si="3"/>
        <v>3000000</v>
      </c>
      <c r="G27" s="35"/>
      <c r="H27" s="35"/>
      <c r="I27" s="1"/>
      <c r="J27" s="15" t="s">
        <v>94</v>
      </c>
      <c r="K27" s="14" t="s">
        <v>90</v>
      </c>
      <c r="L27" s="14" t="s">
        <v>91</v>
      </c>
      <c r="M27" s="1"/>
      <c r="N27" s="1"/>
      <c r="O27" s="15" t="s">
        <v>95</v>
      </c>
      <c r="P27" s="14">
        <v>0</v>
      </c>
      <c r="Q27" s="18">
        <v>0</v>
      </c>
      <c r="R27" s="19"/>
      <c r="S27" s="20" t="s">
        <v>23</v>
      </c>
      <c r="T27" s="1"/>
      <c r="U27" s="1"/>
      <c r="V27" s="1"/>
      <c r="W27" s="1"/>
      <c r="X27" s="1"/>
      <c r="Y27" s="1"/>
      <c r="Z27" s="1"/>
      <c r="AA27" s="1"/>
    </row>
    <row r="28" spans="1:27" ht="17" x14ac:dyDescent="0.2">
      <c r="A28" s="1"/>
      <c r="B28" s="32" t="s">
        <v>96</v>
      </c>
      <c r="C28" s="12"/>
      <c r="D28" s="16"/>
      <c r="E28" s="33">
        <f t="shared" si="2"/>
        <v>0</v>
      </c>
      <c r="F28" s="34">
        <f t="shared" si="3"/>
        <v>0</v>
      </c>
      <c r="G28" s="35"/>
      <c r="H28" s="35"/>
      <c r="I28" s="1"/>
      <c r="J28" s="1"/>
      <c r="K28" s="1"/>
      <c r="L28" s="1"/>
      <c r="M28" s="1"/>
      <c r="N28" s="1"/>
      <c r="O28" s="37"/>
      <c r="P28" s="38"/>
      <c r="Q28" s="37"/>
      <c r="R28" s="22"/>
      <c r="S28" s="39"/>
      <c r="T28" s="1"/>
      <c r="U28" s="1"/>
      <c r="V28" s="1"/>
      <c r="W28" s="1"/>
      <c r="X28" s="1"/>
      <c r="Y28" s="1"/>
      <c r="Z28" s="1"/>
      <c r="AA28" s="1"/>
    </row>
    <row r="29" spans="1:27" ht="17" x14ac:dyDescent="0.2">
      <c r="A29" s="1"/>
      <c r="B29" s="32" t="s">
        <v>97</v>
      </c>
      <c r="C29" s="12"/>
      <c r="D29" s="16"/>
      <c r="E29" s="33">
        <f t="shared" si="2"/>
        <v>0</v>
      </c>
      <c r="F29" s="34">
        <f t="shared" si="3"/>
        <v>0</v>
      </c>
      <c r="G29" s="35"/>
      <c r="H29" s="35"/>
      <c r="I29" s="1"/>
      <c r="J29" s="7" t="s">
        <v>98</v>
      </c>
      <c r="K29" s="8" t="s">
        <v>63</v>
      </c>
      <c r="L29" s="8" t="s">
        <v>11</v>
      </c>
      <c r="M29" s="1"/>
      <c r="N29" s="1"/>
      <c r="O29" s="63" t="s">
        <v>99</v>
      </c>
      <c r="P29" s="8" t="s">
        <v>34</v>
      </c>
      <c r="Q29" s="8" t="s">
        <v>35</v>
      </c>
      <c r="R29" s="10" t="s">
        <v>15</v>
      </c>
      <c r="S29" s="11" t="s">
        <v>16</v>
      </c>
      <c r="T29" s="1"/>
      <c r="U29" s="1"/>
      <c r="V29" s="1"/>
      <c r="W29" s="1"/>
      <c r="X29" s="1"/>
      <c r="Y29" s="1"/>
      <c r="Z29" s="1"/>
      <c r="AA29" s="1"/>
    </row>
    <row r="30" spans="1:27" ht="17" x14ac:dyDescent="0.2">
      <c r="A30" s="1"/>
      <c r="B30" s="32" t="s">
        <v>100</v>
      </c>
      <c r="C30" s="12"/>
      <c r="D30" s="16">
        <v>0</v>
      </c>
      <c r="E30" s="33">
        <f t="shared" si="2"/>
        <v>0</v>
      </c>
      <c r="F30" s="34">
        <f t="shared" si="3"/>
        <v>0</v>
      </c>
      <c r="G30" s="35"/>
      <c r="H30" s="35"/>
      <c r="I30" s="1"/>
      <c r="J30" s="15" t="s">
        <v>101</v>
      </c>
      <c r="K30" s="14" t="s">
        <v>102</v>
      </c>
      <c r="L30" s="14" t="s">
        <v>102</v>
      </c>
      <c r="M30" s="1"/>
      <c r="N30" s="1"/>
      <c r="O30" s="64"/>
      <c r="P30" s="14">
        <v>0</v>
      </c>
      <c r="Q30" s="18">
        <v>0</v>
      </c>
      <c r="R30" s="19"/>
      <c r="S30" s="20" t="s">
        <v>23</v>
      </c>
      <c r="T30" s="1"/>
      <c r="U30" s="1"/>
      <c r="V30" s="1"/>
      <c r="W30" s="1"/>
      <c r="X30" s="1"/>
      <c r="Y30" s="1"/>
      <c r="Z30" s="1"/>
      <c r="AA30" s="1"/>
    </row>
    <row r="31" spans="1:27" ht="17" x14ac:dyDescent="0.2">
      <c r="A31" s="1"/>
      <c r="B31" s="12" t="s">
        <v>103</v>
      </c>
      <c r="C31" s="12"/>
      <c r="D31" s="16">
        <v>42000000</v>
      </c>
      <c r="E31" s="33">
        <f t="shared" si="2"/>
        <v>0.45901639344262296</v>
      </c>
      <c r="F31" s="34">
        <f t="shared" si="3"/>
        <v>42000000</v>
      </c>
      <c r="G31" s="35" t="s">
        <v>135</v>
      </c>
      <c r="H31" s="35"/>
      <c r="I31" s="1"/>
      <c r="J31" s="15" t="s">
        <v>104</v>
      </c>
      <c r="K31" s="14" t="s">
        <v>102</v>
      </c>
      <c r="L31" s="14" t="s">
        <v>102</v>
      </c>
      <c r="M31" s="1"/>
      <c r="N31" s="1"/>
      <c r="O31" s="15" t="s">
        <v>105</v>
      </c>
      <c r="P31" s="14" t="s">
        <v>90</v>
      </c>
      <c r="Q31" s="40" t="s">
        <v>106</v>
      </c>
      <c r="R31" s="14">
        <v>1</v>
      </c>
      <c r="S31" s="39"/>
      <c r="T31" s="1"/>
      <c r="U31" s="1"/>
      <c r="V31" s="1"/>
      <c r="W31" s="1"/>
      <c r="X31" s="1"/>
      <c r="Y31" s="1"/>
      <c r="Z31" s="1"/>
      <c r="AA31" s="1"/>
    </row>
    <row r="32" spans="1:27" ht="17" x14ac:dyDescent="0.2">
      <c r="A32" s="1"/>
      <c r="B32" s="12" t="s">
        <v>107</v>
      </c>
      <c r="C32" s="12"/>
      <c r="D32" s="16">
        <v>5500000</v>
      </c>
      <c r="E32" s="33">
        <f t="shared" si="2"/>
        <v>6.0109289617486336E-2</v>
      </c>
      <c r="F32" s="34">
        <f t="shared" si="3"/>
        <v>5500000</v>
      </c>
      <c r="G32" s="35" t="s">
        <v>178</v>
      </c>
      <c r="H32" s="35"/>
      <c r="I32" s="1"/>
      <c r="J32" s="15" t="s">
        <v>108</v>
      </c>
      <c r="K32" s="14" t="s">
        <v>102</v>
      </c>
      <c r="L32" s="14" t="s">
        <v>102</v>
      </c>
      <c r="M32" s="1"/>
      <c r="N32" s="1"/>
      <c r="O32" s="1"/>
      <c r="P32" s="1"/>
      <c r="Q32" s="1"/>
      <c r="R32" s="22"/>
      <c r="S32" s="23"/>
      <c r="T32" s="1"/>
      <c r="U32" s="1"/>
      <c r="V32" s="1"/>
      <c r="W32" s="1"/>
      <c r="X32" s="1"/>
      <c r="Y32" s="1"/>
      <c r="Z32" s="1"/>
      <c r="AA32" s="1"/>
    </row>
    <row r="33" spans="1:27" ht="17" x14ac:dyDescent="0.2">
      <c r="A33" s="1"/>
      <c r="B33" s="12" t="s">
        <v>109</v>
      </c>
      <c r="C33" s="12"/>
      <c r="D33" s="16"/>
      <c r="E33" s="33">
        <f t="shared" si="2"/>
        <v>0</v>
      </c>
      <c r="F33" s="34">
        <f t="shared" si="3"/>
        <v>0</v>
      </c>
      <c r="G33" s="35"/>
      <c r="H33" s="35"/>
      <c r="I33" s="1"/>
      <c r="J33" s="15" t="s">
        <v>110</v>
      </c>
      <c r="K33" s="16">
        <v>0</v>
      </c>
      <c r="L33" s="16">
        <v>0</v>
      </c>
      <c r="M33" s="1"/>
      <c r="N33" s="1"/>
      <c r="O33" s="63" t="s">
        <v>111</v>
      </c>
      <c r="P33" s="8" t="s">
        <v>34</v>
      </c>
      <c r="Q33" s="8" t="s">
        <v>35</v>
      </c>
      <c r="R33" s="10" t="s">
        <v>15</v>
      </c>
      <c r="S33" s="11" t="s">
        <v>16</v>
      </c>
      <c r="T33" s="1"/>
      <c r="U33" s="1"/>
      <c r="V33" s="1"/>
      <c r="W33" s="1"/>
      <c r="X33" s="1"/>
      <c r="Y33" s="1"/>
      <c r="Z33" s="1"/>
      <c r="AA33" s="1"/>
    </row>
    <row r="34" spans="1:27" ht="17" x14ac:dyDescent="0.2">
      <c r="A34" s="1"/>
      <c r="B34" s="41" t="s">
        <v>12</v>
      </c>
      <c r="C34" s="6"/>
      <c r="D34" s="25">
        <f>SUM(D17:D33)</f>
        <v>91500000</v>
      </c>
      <c r="E34" s="42">
        <f t="shared" ref="E34:F34" si="6">SUM(E16:E33)</f>
        <v>0.99999999999999989</v>
      </c>
      <c r="F34" s="43">
        <f t="shared" si="6"/>
        <v>91500000</v>
      </c>
      <c r="G34" s="44"/>
      <c r="H34" s="44"/>
      <c r="I34" s="1"/>
      <c r="J34" s="1"/>
      <c r="K34" s="1"/>
      <c r="L34" s="1"/>
      <c r="M34" s="1"/>
      <c r="N34" s="1"/>
      <c r="O34" s="64"/>
      <c r="P34" s="14">
        <v>0</v>
      </c>
      <c r="Q34" s="18">
        <v>0</v>
      </c>
      <c r="R34" s="19"/>
      <c r="S34" s="20" t="s">
        <v>23</v>
      </c>
      <c r="T34" s="1"/>
      <c r="U34" s="1"/>
      <c r="V34" s="1"/>
      <c r="W34" s="1"/>
      <c r="X34" s="1"/>
      <c r="Y34" s="1"/>
      <c r="Z34" s="1"/>
      <c r="AA34" s="1"/>
    </row>
    <row r="35" spans="1:27" ht="16" x14ac:dyDescent="0.2">
      <c r="A35" s="1"/>
      <c r="B35" s="1"/>
      <c r="C35" s="1"/>
      <c r="D35" s="1"/>
      <c r="E35" s="1"/>
      <c r="F35" s="1"/>
      <c r="G35" s="45"/>
      <c r="H35" s="45"/>
      <c r="I35" s="1"/>
      <c r="J35" s="7" t="s">
        <v>112</v>
      </c>
      <c r="K35" s="8" t="s">
        <v>63</v>
      </c>
      <c r="L35" s="8" t="s">
        <v>11</v>
      </c>
      <c r="M35" s="8" t="s">
        <v>12</v>
      </c>
      <c r="N35" s="1"/>
      <c r="O35" s="1"/>
      <c r="P35" s="2"/>
      <c r="Q35" s="1"/>
      <c r="R35" s="22"/>
      <c r="S35" s="23"/>
      <c r="T35" s="1"/>
      <c r="U35" s="1"/>
      <c r="V35" s="1"/>
      <c r="W35" s="1"/>
      <c r="X35" s="1"/>
      <c r="Y35" s="1"/>
      <c r="Z35" s="1"/>
      <c r="AA35" s="1"/>
    </row>
    <row r="36" spans="1:27" ht="16" x14ac:dyDescent="0.2">
      <c r="A36" s="1"/>
      <c r="B36" s="7" t="s">
        <v>113</v>
      </c>
      <c r="C36" s="8" t="s">
        <v>114</v>
      </c>
      <c r="D36" s="8" t="s">
        <v>115</v>
      </c>
      <c r="E36" s="8" t="s">
        <v>116</v>
      </c>
      <c r="F36" s="8" t="s">
        <v>117</v>
      </c>
      <c r="G36" s="29"/>
      <c r="H36" s="29"/>
      <c r="I36" s="46"/>
      <c r="J36" s="15" t="s">
        <v>118</v>
      </c>
      <c r="K36" s="16">
        <v>0</v>
      </c>
      <c r="L36" s="16">
        <v>0</v>
      </c>
      <c r="M36" s="17">
        <f t="shared" ref="M36:M37" si="7">SUM(K36:L36)</f>
        <v>0</v>
      </c>
      <c r="N36" s="1"/>
      <c r="O36" s="63" t="s">
        <v>119</v>
      </c>
      <c r="P36" s="8" t="s">
        <v>34</v>
      </c>
      <c r="Q36" s="8" t="s">
        <v>35</v>
      </c>
      <c r="R36" s="10" t="s">
        <v>15</v>
      </c>
      <c r="S36" s="11" t="s">
        <v>16</v>
      </c>
      <c r="T36" s="1"/>
      <c r="U36" s="1"/>
      <c r="V36" s="1"/>
      <c r="W36" s="1"/>
      <c r="X36" s="1"/>
      <c r="Y36" s="1"/>
      <c r="Z36" s="1"/>
      <c r="AA36" s="1"/>
    </row>
    <row r="37" spans="1:27" ht="16" x14ac:dyDescent="0.2">
      <c r="A37" s="1"/>
      <c r="B37" s="15" t="s">
        <v>120</v>
      </c>
      <c r="C37" s="14">
        <v>25</v>
      </c>
      <c r="D37" s="16">
        <v>30000000</v>
      </c>
      <c r="E37" s="47">
        <v>7.3499999999999996E-2</v>
      </c>
      <c r="F37" s="16">
        <v>0</v>
      </c>
      <c r="G37" s="29"/>
      <c r="H37" s="29"/>
      <c r="I37" s="46"/>
      <c r="J37" s="15" t="s">
        <v>121</v>
      </c>
      <c r="K37" s="16">
        <v>0</v>
      </c>
      <c r="L37" s="16">
        <v>0</v>
      </c>
      <c r="M37" s="17">
        <f t="shared" si="7"/>
        <v>0</v>
      </c>
      <c r="N37" s="1"/>
      <c r="O37" s="64"/>
      <c r="P37" s="14">
        <v>12</v>
      </c>
      <c r="Q37" s="18">
        <v>0</v>
      </c>
      <c r="R37" s="48"/>
      <c r="S37" s="20" t="s">
        <v>23</v>
      </c>
      <c r="T37" s="1"/>
      <c r="U37" s="1"/>
      <c r="V37" s="1"/>
      <c r="W37" s="1"/>
      <c r="X37" s="1"/>
      <c r="Y37" s="1"/>
      <c r="Z37" s="1"/>
      <c r="AA37" s="1"/>
    </row>
    <row r="38" spans="1:27" ht="16" x14ac:dyDescent="0.2">
      <c r="A38" s="1"/>
      <c r="B38" s="15" t="s">
        <v>122</v>
      </c>
      <c r="C38" s="14">
        <v>0</v>
      </c>
      <c r="D38" s="16">
        <v>0</v>
      </c>
      <c r="E38" s="47">
        <v>0</v>
      </c>
      <c r="F38" s="16">
        <v>0</v>
      </c>
      <c r="G38" s="29"/>
      <c r="H38" s="29"/>
      <c r="I38" s="46"/>
      <c r="J38" s="15" t="s">
        <v>123</v>
      </c>
      <c r="K38" s="49">
        <v>0</v>
      </c>
      <c r="L38" s="49">
        <v>0</v>
      </c>
      <c r="M38" s="17"/>
      <c r="N38" s="1"/>
      <c r="O38" s="1"/>
      <c r="P38" s="2"/>
      <c r="Q38" s="1"/>
      <c r="R38" s="22"/>
      <c r="S38" s="23"/>
      <c r="T38" s="1"/>
      <c r="U38" s="1"/>
      <c r="V38" s="1"/>
      <c r="W38" s="1"/>
      <c r="X38" s="1"/>
      <c r="Y38" s="1"/>
      <c r="Z38" s="1"/>
      <c r="AA38" s="1"/>
    </row>
    <row r="39" spans="1:27" ht="16" x14ac:dyDescent="0.2">
      <c r="A39" s="1"/>
      <c r="B39" s="15" t="s">
        <v>124</v>
      </c>
      <c r="C39" s="14">
        <v>0</v>
      </c>
      <c r="D39" s="16">
        <v>0</v>
      </c>
      <c r="E39" s="47">
        <v>0</v>
      </c>
      <c r="F39" s="16">
        <v>0</v>
      </c>
      <c r="G39" s="29"/>
      <c r="H39" s="29"/>
      <c r="I39" s="46"/>
      <c r="J39" s="1"/>
      <c r="K39" s="1"/>
      <c r="L39" s="1"/>
      <c r="M39" s="1"/>
      <c r="N39" s="1"/>
      <c r="O39" s="63" t="s">
        <v>125</v>
      </c>
      <c r="P39" s="8" t="s">
        <v>34</v>
      </c>
      <c r="Q39" s="8" t="s">
        <v>35</v>
      </c>
      <c r="R39" s="10" t="s">
        <v>15</v>
      </c>
      <c r="S39" s="11" t="s">
        <v>16</v>
      </c>
      <c r="T39" s="1"/>
      <c r="U39" s="1"/>
      <c r="V39" s="1"/>
      <c r="W39" s="1"/>
      <c r="X39" s="1"/>
      <c r="Y39" s="1"/>
      <c r="Z39" s="1"/>
      <c r="AA39" s="1"/>
    </row>
    <row r="40" spans="1:27" ht="16" x14ac:dyDescent="0.2">
      <c r="A40" s="1"/>
      <c r="B40" s="15" t="s">
        <v>126</v>
      </c>
      <c r="C40" s="14">
        <v>0</v>
      </c>
      <c r="D40" s="16"/>
      <c r="E40" s="47">
        <v>0</v>
      </c>
      <c r="F40" s="16">
        <v>0</v>
      </c>
      <c r="G40" s="29"/>
      <c r="H40" s="29"/>
      <c r="I40" s="1"/>
      <c r="J40" s="1"/>
      <c r="K40" s="1"/>
      <c r="L40" s="1"/>
      <c r="M40" s="1"/>
      <c r="N40" s="1"/>
      <c r="O40" s="64"/>
      <c r="P40" s="14">
        <v>12</v>
      </c>
      <c r="Q40" s="18">
        <v>0</v>
      </c>
      <c r="R40" s="48"/>
      <c r="S40" s="20" t="s">
        <v>23</v>
      </c>
      <c r="T40" s="1"/>
      <c r="U40" s="1"/>
      <c r="V40" s="1"/>
      <c r="W40" s="1"/>
      <c r="X40" s="1"/>
      <c r="Y40" s="1"/>
      <c r="Z40" s="1"/>
      <c r="AA40" s="1"/>
    </row>
    <row r="41" spans="1:27" ht="16" x14ac:dyDescent="0.2">
      <c r="A41" s="1"/>
      <c r="B41" s="15" t="s">
        <v>127</v>
      </c>
      <c r="C41" s="14">
        <v>0</v>
      </c>
      <c r="D41" s="16">
        <v>0</v>
      </c>
      <c r="E41" s="47">
        <v>0</v>
      </c>
      <c r="F41" s="16">
        <v>0</v>
      </c>
      <c r="G41" s="29"/>
      <c r="H41" s="29"/>
      <c r="I41" s="1"/>
      <c r="J41" s="1"/>
      <c r="K41" s="1"/>
      <c r="L41" s="1"/>
      <c r="M41" s="1"/>
      <c r="N41" s="1"/>
      <c r="O41" s="1"/>
      <c r="P41" s="2"/>
      <c r="Q41" s="1"/>
      <c r="R41" s="22"/>
      <c r="S41" s="23"/>
      <c r="T41" s="1"/>
      <c r="U41" s="1"/>
      <c r="V41" s="1"/>
      <c r="W41" s="1"/>
      <c r="X41" s="1"/>
      <c r="Y41" s="1"/>
      <c r="Z41" s="1"/>
      <c r="AA41" s="1"/>
    </row>
    <row r="42" spans="1:27" ht="16" x14ac:dyDescent="0.2">
      <c r="A42" s="1"/>
      <c r="B42" s="15" t="s">
        <v>128</v>
      </c>
      <c r="C42" s="14">
        <v>0</v>
      </c>
      <c r="D42" s="16">
        <v>0</v>
      </c>
      <c r="E42" s="47">
        <v>0</v>
      </c>
      <c r="F42" s="16">
        <v>0</v>
      </c>
      <c r="G42" s="29"/>
      <c r="H42" s="29"/>
      <c r="I42" s="1"/>
      <c r="J42" s="1"/>
      <c r="K42" s="1"/>
      <c r="L42" s="1"/>
      <c r="M42" s="1"/>
      <c r="N42" s="1"/>
      <c r="O42" s="63" t="s">
        <v>129</v>
      </c>
      <c r="P42" s="8" t="s">
        <v>34</v>
      </c>
      <c r="Q42" s="8" t="s">
        <v>35</v>
      </c>
      <c r="R42" s="10" t="s">
        <v>15</v>
      </c>
      <c r="S42" s="11" t="s">
        <v>16</v>
      </c>
      <c r="T42" s="1"/>
      <c r="U42" s="1"/>
      <c r="V42" s="1"/>
      <c r="W42" s="1"/>
      <c r="X42" s="1"/>
      <c r="Y42" s="1"/>
      <c r="Z42" s="1"/>
      <c r="AA42" s="1"/>
    </row>
    <row r="43" spans="1:27" ht="17" x14ac:dyDescent="0.2">
      <c r="A43" s="1"/>
      <c r="B43" s="41" t="s">
        <v>12</v>
      </c>
      <c r="C43" s="6"/>
      <c r="D43" s="25">
        <f>SUM(D37:D42)</f>
        <v>30000000</v>
      </c>
      <c r="E43" s="6"/>
      <c r="F43" s="25">
        <f>SUM(F37:F42)</f>
        <v>0</v>
      </c>
      <c r="G43" s="29"/>
      <c r="H43" s="29"/>
      <c r="I43" s="1"/>
      <c r="J43" s="1"/>
      <c r="K43" s="1"/>
      <c r="L43" s="1"/>
      <c r="M43" s="1"/>
      <c r="N43" s="1"/>
      <c r="O43" s="64"/>
      <c r="P43" s="14">
        <v>0</v>
      </c>
      <c r="Q43" s="18">
        <v>0</v>
      </c>
      <c r="R43" s="48"/>
      <c r="S43" s="50" t="s">
        <v>23</v>
      </c>
      <c r="T43" s="1"/>
      <c r="U43" s="1"/>
      <c r="V43" s="1"/>
      <c r="W43" s="1"/>
      <c r="X43" s="1"/>
      <c r="Y43" s="1"/>
      <c r="Z43" s="1"/>
      <c r="AA43" s="1"/>
    </row>
    <row r="44" spans="1:27" ht="1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" x14ac:dyDescent="0.2">
      <c r="A46" s="1"/>
      <c r="B46" s="56" t="s">
        <v>174</v>
      </c>
      <c r="C46" s="56" t="s">
        <v>145</v>
      </c>
      <c r="D46" s="56" t="s">
        <v>147</v>
      </c>
      <c r="E46" s="56" t="s">
        <v>58</v>
      </c>
      <c r="F46" s="57" t="s">
        <v>179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" x14ac:dyDescent="0.2">
      <c r="A47" s="1"/>
      <c r="B47" s="57" t="s">
        <v>13</v>
      </c>
      <c r="C47" s="57" t="s">
        <v>146</v>
      </c>
      <c r="D47" s="57" t="s">
        <v>167</v>
      </c>
      <c r="E47" s="57" t="s">
        <v>166</v>
      </c>
      <c r="F47" s="5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" x14ac:dyDescent="0.2">
      <c r="A48" s="1"/>
      <c r="B48" s="57" t="s">
        <v>138</v>
      </c>
      <c r="C48" s="57" t="s">
        <v>148</v>
      </c>
      <c r="D48" s="57" t="s">
        <v>102</v>
      </c>
      <c r="E48" s="57" t="s">
        <v>168</v>
      </c>
      <c r="F48" s="5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" x14ac:dyDescent="0.2">
      <c r="A49" s="1"/>
      <c r="B49" s="57" t="s">
        <v>139</v>
      </c>
      <c r="C49" s="57" t="s">
        <v>149</v>
      </c>
      <c r="D49" s="57" t="s">
        <v>102</v>
      </c>
      <c r="E49" s="57" t="s">
        <v>170</v>
      </c>
      <c r="F49" s="5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" x14ac:dyDescent="0.2">
      <c r="A50" s="1"/>
      <c r="B50" s="57" t="s">
        <v>137</v>
      </c>
      <c r="C50" s="57" t="s">
        <v>150</v>
      </c>
      <c r="D50" s="57" t="s">
        <v>102</v>
      </c>
      <c r="E50" s="57" t="s">
        <v>172</v>
      </c>
      <c r="F50" s="5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" x14ac:dyDescent="0.2">
      <c r="A51" s="1"/>
      <c r="B51" s="57" t="s">
        <v>140</v>
      </c>
      <c r="C51" s="57" t="s">
        <v>151</v>
      </c>
      <c r="D51" s="57" t="s">
        <v>152</v>
      </c>
      <c r="E51" s="57" t="s">
        <v>180</v>
      </c>
      <c r="F51" s="5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" x14ac:dyDescent="0.2">
      <c r="A52" s="1"/>
      <c r="B52" s="57" t="s">
        <v>153</v>
      </c>
      <c r="C52" s="57" t="s">
        <v>154</v>
      </c>
      <c r="D52" s="57" t="s">
        <v>102</v>
      </c>
      <c r="E52" s="57" t="s">
        <v>181</v>
      </c>
      <c r="F52" s="5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" x14ac:dyDescent="0.2">
      <c r="A53" s="1"/>
      <c r="B53" s="57" t="s">
        <v>136</v>
      </c>
      <c r="C53" s="57" t="s">
        <v>155</v>
      </c>
      <c r="D53" s="57" t="s">
        <v>141</v>
      </c>
      <c r="E53" s="57" t="s">
        <v>173</v>
      </c>
      <c r="F53" s="5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" x14ac:dyDescent="0.2">
      <c r="A54" s="1"/>
      <c r="B54" s="57"/>
      <c r="C54" s="57"/>
      <c r="D54" s="57"/>
      <c r="E54" s="57"/>
      <c r="F54" s="57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" x14ac:dyDescent="0.2">
      <c r="A55" s="1"/>
      <c r="B55" s="57"/>
      <c r="C55" s="57"/>
      <c r="D55" s="57"/>
      <c r="E55" s="57"/>
      <c r="F55" s="5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" x14ac:dyDescent="0.2">
      <c r="A56" s="1"/>
      <c r="B56" s="58" t="s">
        <v>156</v>
      </c>
      <c r="C56" s="58" t="s">
        <v>183</v>
      </c>
      <c r="D56" s="58" t="s">
        <v>130</v>
      </c>
      <c r="E56" s="57"/>
      <c r="F56" s="5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7" ht="16" x14ac:dyDescent="0.2">
      <c r="A57" s="1"/>
      <c r="B57" s="59" t="s">
        <v>157</v>
      </c>
      <c r="C57" s="60">
        <v>0.5</v>
      </c>
      <c r="D57" s="61">
        <v>250000</v>
      </c>
      <c r="E57" s="57"/>
      <c r="F57" s="5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7" ht="16" x14ac:dyDescent="0.2">
      <c r="A58" s="1"/>
      <c r="B58" s="59" t="s">
        <v>158</v>
      </c>
      <c r="C58" s="60">
        <v>0.1</v>
      </c>
      <c r="D58" s="61" t="s">
        <v>79</v>
      </c>
      <c r="E58" s="57"/>
      <c r="F58" s="5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7" ht="16" x14ac:dyDescent="0.2">
      <c r="A59" s="1"/>
      <c r="B59" s="59" t="s">
        <v>140</v>
      </c>
      <c r="C59" s="60">
        <v>0.25</v>
      </c>
      <c r="D59" s="61" t="s">
        <v>159</v>
      </c>
      <c r="E59" s="57"/>
      <c r="F59" s="5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7" ht="16" x14ac:dyDescent="0.2">
      <c r="A60" s="1"/>
      <c r="B60" s="59" t="s">
        <v>175</v>
      </c>
      <c r="C60" s="60">
        <v>0.1</v>
      </c>
      <c r="D60" s="61">
        <v>70000</v>
      </c>
      <c r="E60" s="57"/>
      <c r="F60" s="5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7" ht="16" x14ac:dyDescent="0.2">
      <c r="A61" s="1"/>
      <c r="B61" s="59" t="s">
        <v>176</v>
      </c>
      <c r="C61" s="60">
        <v>0.05</v>
      </c>
      <c r="D61" s="61">
        <v>35000</v>
      </c>
      <c r="E61" s="57"/>
      <c r="F61" s="5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7" ht="16" x14ac:dyDescent="0.2">
      <c r="A62" s="1"/>
      <c r="B62" s="57"/>
      <c r="C62" s="57"/>
      <c r="D62" s="62"/>
      <c r="E62" s="62"/>
      <c r="F62" s="5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" x14ac:dyDescent="0.2">
      <c r="A63" s="1"/>
      <c r="B63" s="57" t="s">
        <v>160</v>
      </c>
      <c r="C63" s="57" t="s">
        <v>169</v>
      </c>
      <c r="D63" s="57"/>
      <c r="E63" s="62"/>
      <c r="F63" s="6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" x14ac:dyDescent="0.2">
      <c r="A64" s="1"/>
      <c r="B64" s="57" t="s">
        <v>161</v>
      </c>
      <c r="C64" s="62">
        <v>0.25</v>
      </c>
      <c r="D64" s="62"/>
      <c r="E64" s="57"/>
      <c r="F64" s="5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" x14ac:dyDescent="0.2">
      <c r="A65" s="1"/>
      <c r="B65" s="57" t="s">
        <v>162</v>
      </c>
      <c r="C65" s="62">
        <v>0.15</v>
      </c>
      <c r="D65" s="57"/>
      <c r="E65" s="57"/>
      <c r="F65" s="6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" x14ac:dyDescent="0.2">
      <c r="A66" s="1"/>
      <c r="B66" s="57" t="s">
        <v>163</v>
      </c>
      <c r="C66" s="62">
        <v>0.15</v>
      </c>
      <c r="D66" s="57"/>
      <c r="E66" s="57"/>
      <c r="F66" s="57"/>
      <c r="G66" s="2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" x14ac:dyDescent="0.2">
      <c r="A67" s="1"/>
      <c r="B67" s="57" t="s">
        <v>164</v>
      </c>
      <c r="C67" s="62">
        <v>0.2</v>
      </c>
      <c r="D67" s="57"/>
      <c r="E67" s="57"/>
      <c r="F67" s="6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" x14ac:dyDescent="0.2">
      <c r="A68" s="1"/>
      <c r="B68" s="57" t="s">
        <v>165</v>
      </c>
      <c r="C68" s="62">
        <v>0.15</v>
      </c>
      <c r="D68" s="57"/>
      <c r="E68" s="57"/>
      <c r="F68" s="6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" x14ac:dyDescent="0.2">
      <c r="A69" s="1"/>
      <c r="B69" s="57" t="s">
        <v>171</v>
      </c>
      <c r="C69" s="62">
        <v>0.1</v>
      </c>
      <c r="D69" s="57"/>
      <c r="E69" s="57"/>
      <c r="F69" s="57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" x14ac:dyDescent="0.2">
      <c r="A70" s="1"/>
      <c r="B70" s="57"/>
      <c r="C70" s="57"/>
      <c r="D70" s="57"/>
      <c r="E70" s="57"/>
      <c r="F70" s="57"/>
      <c r="G70" s="2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" x14ac:dyDescent="0.2">
      <c r="A71" s="1"/>
      <c r="B71" s="57" t="s">
        <v>177</v>
      </c>
      <c r="C71" s="57"/>
      <c r="D71" s="57"/>
      <c r="E71" s="57"/>
      <c r="F71" s="57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" x14ac:dyDescent="0.2">
      <c r="A72" s="1"/>
      <c r="B72" s="57" t="s">
        <v>182</v>
      </c>
      <c r="C72" s="57"/>
      <c r="D72" s="57"/>
      <c r="E72" s="57"/>
      <c r="F72" s="57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" x14ac:dyDescent="0.2">
      <c r="A73" s="1"/>
      <c r="B73" s="1"/>
      <c r="C73" s="5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" x14ac:dyDescent="0.2">
      <c r="A74" s="1"/>
      <c r="B74" s="1"/>
      <c r="C74" s="5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" x14ac:dyDescent="0.2">
      <c r="A75" s="1"/>
      <c r="B75" s="1"/>
      <c r="C75" s="5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" x14ac:dyDescent="0.2">
      <c r="A76" s="1"/>
      <c r="B76" s="1"/>
      <c r="C76" s="5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" x14ac:dyDescent="0.2">
      <c r="A77" s="1"/>
      <c r="B77" s="1"/>
      <c r="C77" s="5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0">
    <mergeCell ref="O36:O37"/>
    <mergeCell ref="O39:O40"/>
    <mergeCell ref="O42:O43"/>
    <mergeCell ref="B1:D2"/>
    <mergeCell ref="J2:M2"/>
    <mergeCell ref="O3:R3"/>
    <mergeCell ref="E12:F12"/>
    <mergeCell ref="O21:O22"/>
    <mergeCell ref="O29:O30"/>
    <mergeCell ref="O33:O34"/>
  </mergeCell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'Dropdown List - Do Not Delete'!$D$2:$D$4</xm:f>
          </x14:formula1>
          <xm:sqref>F5:F11</xm:sqref>
        </x14:dataValidation>
        <x14:dataValidation type="list" allowBlank="1" showErrorMessage="1" xr:uid="{00000000-0002-0000-0000-000001000000}">
          <x14:formula1>
            <xm:f>'Dropdown List - Do Not Delete'!$G$2:$G$5</xm:f>
          </x14:formula1>
          <xm:sqref>G5:H11</xm:sqref>
        </x14:dataValidation>
        <x14:dataValidation type="list" allowBlank="1" showErrorMessage="1" xr:uid="{00000000-0002-0000-0000-000002000000}">
          <x14:formula1>
            <xm:f>'Dropdown List - Do Not Delete'!$A$2:$A$4</xm:f>
          </x14:formula1>
          <xm:sqref>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5" defaultRowHeight="15" customHeight="1" x14ac:dyDescent="0.2"/>
  <cols>
    <col min="1" max="9" width="8.83203125" customWidth="1"/>
    <col min="10" max="26" width="8.6640625" customWidth="1"/>
  </cols>
  <sheetData>
    <row r="1" spans="1:26" ht="14.25" customHeight="1" x14ac:dyDescent="0.2">
      <c r="A1" s="52" t="s">
        <v>131</v>
      </c>
      <c r="D1" s="52" t="s">
        <v>132</v>
      </c>
      <c r="G1" s="52" t="s">
        <v>133</v>
      </c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4.25" customHeight="1" x14ac:dyDescent="0.2">
      <c r="A2" s="53" t="s">
        <v>38</v>
      </c>
      <c r="D2" s="53" t="s">
        <v>38</v>
      </c>
      <c r="G2" s="53" t="s">
        <v>38</v>
      </c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4.25" customHeight="1" x14ac:dyDescent="0.2">
      <c r="A3" s="53" t="s">
        <v>48</v>
      </c>
      <c r="D3" s="53" t="s">
        <v>24</v>
      </c>
      <c r="G3" s="53" t="s">
        <v>20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4.25" customHeight="1" x14ac:dyDescent="0.2">
      <c r="A4" s="53" t="s">
        <v>134</v>
      </c>
      <c r="D4" s="53" t="s">
        <v>19</v>
      </c>
      <c r="G4" s="53" t="s">
        <v>25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4.25" customHeight="1" x14ac:dyDescent="0.2">
      <c r="A5" s="51"/>
      <c r="B5" s="51"/>
      <c r="C5" s="51"/>
      <c r="D5" s="51"/>
      <c r="E5" s="51"/>
      <c r="F5" s="51"/>
      <c r="G5" s="53" t="s">
        <v>29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4.25" customHeight="1" x14ac:dyDescent="0.2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4.25" customHeight="1" x14ac:dyDescent="0.2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4.25" customHeight="1" x14ac:dyDescent="0.2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4.25" customHeight="1" x14ac:dyDescent="0.2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4.25" customHeight="1" x14ac:dyDescent="0.2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4.25" customHeight="1" x14ac:dyDescent="0.2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4.25" customHeight="1" x14ac:dyDescent="0.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4.25" customHeight="1" x14ac:dyDescent="0.2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4.25" customHeight="1" x14ac:dyDescent="0.2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4.25" customHeight="1" x14ac:dyDescent="0.2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4.25" customHeight="1" x14ac:dyDescent="0.2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4.25" customHeight="1" x14ac:dyDescent="0.2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4.25" customHeight="1" x14ac:dyDescent="0.2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4.25" customHeight="1" x14ac:dyDescent="0.2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4.25" customHeight="1" x14ac:dyDescent="0.2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4.25" customHeight="1" x14ac:dyDescent="0.2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4.25" customHeight="1" x14ac:dyDescent="0.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4.25" customHeight="1" x14ac:dyDescent="0.2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4.25" customHeight="1" x14ac:dyDescent="0.2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4.25" customHeight="1" x14ac:dyDescent="0.2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4.25" customHeight="1" x14ac:dyDescent="0.2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4.25" customHeight="1" x14ac:dyDescent="0.2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4.25" customHeight="1" x14ac:dyDescent="0.2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4.25" customHeight="1" x14ac:dyDescent="0.2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4.25" customHeight="1" x14ac:dyDescent="0.2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4.25" customHeight="1" x14ac:dyDescent="0.2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4.25" customHeight="1" x14ac:dyDescent="0.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4.25" customHeight="1" x14ac:dyDescent="0.2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4.25" customHeight="1" x14ac:dyDescent="0.2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4.25" customHeight="1" x14ac:dyDescent="0.2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4.25" customHeight="1" x14ac:dyDescent="0.2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4.25" customHeight="1" x14ac:dyDescent="0.2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4.25" customHeight="1" x14ac:dyDescent="0.2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4.25" customHeight="1" x14ac:dyDescent="0.2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4.25" customHeight="1" x14ac:dyDescent="0.2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4.25" customHeight="1" x14ac:dyDescent="0.2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4.25" customHeight="1" x14ac:dyDescent="0.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4.25" customHeight="1" x14ac:dyDescent="0.2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4.25" customHeight="1" x14ac:dyDescent="0.2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4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4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4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4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4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4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4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4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4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4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4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4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4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4.2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4.25" customHeight="1" x14ac:dyDescent="0.2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4.25" customHeight="1" x14ac:dyDescent="0.2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4.25" customHeight="1" x14ac:dyDescent="0.2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4.25" customHeight="1" x14ac:dyDescent="0.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4.25" customHeight="1" x14ac:dyDescent="0.2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4.25" customHeight="1" x14ac:dyDescent="0.2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4.25" customHeight="1" x14ac:dyDescent="0.2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4.25" customHeight="1" x14ac:dyDescent="0.2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4.25" customHeight="1" x14ac:dyDescent="0.2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4.25" customHeight="1" x14ac:dyDescent="0.2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4.25" customHeight="1" x14ac:dyDescent="0.2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4.25" customHeight="1" x14ac:dyDescent="0.2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4.25" customHeight="1" x14ac:dyDescent="0.2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4.25" customHeight="1" x14ac:dyDescent="0.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4.25" customHeight="1" x14ac:dyDescent="0.2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4.25" customHeight="1" x14ac:dyDescent="0.2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4.25" customHeight="1" x14ac:dyDescent="0.2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4.25" customHeight="1" x14ac:dyDescent="0.2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4.25" customHeight="1" x14ac:dyDescent="0.2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4.25" customHeight="1" x14ac:dyDescent="0.2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4.25" customHeight="1" x14ac:dyDescent="0.2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4.25" customHeight="1" x14ac:dyDescent="0.2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4.25" customHeight="1" x14ac:dyDescent="0.2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4.25" customHeight="1" x14ac:dyDescent="0.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4.25" customHeight="1" x14ac:dyDescent="0.2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4.25" customHeight="1" x14ac:dyDescent="0.2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4.25" customHeight="1" x14ac:dyDescent="0.2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4.25" customHeight="1" x14ac:dyDescent="0.2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4.25" customHeight="1" x14ac:dyDescent="0.2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4.25" customHeight="1" x14ac:dyDescent="0.2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4.25" customHeight="1" x14ac:dyDescent="0.2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4.25" customHeight="1" x14ac:dyDescent="0.2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4.25" customHeight="1" x14ac:dyDescent="0.2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4.25" customHeight="1" x14ac:dyDescent="0.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4.25" customHeight="1" x14ac:dyDescent="0.2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4.25" customHeight="1" x14ac:dyDescent="0.2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4.25" customHeight="1" x14ac:dyDescent="0.2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4.25" customHeight="1" x14ac:dyDescent="0.2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4.25" customHeight="1" x14ac:dyDescent="0.2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4.25" customHeight="1" x14ac:dyDescent="0.2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4.25" customHeight="1" x14ac:dyDescent="0.2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4.25" customHeight="1" x14ac:dyDescent="0.2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4.25" customHeight="1" x14ac:dyDescent="0.2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4.25" customHeight="1" x14ac:dyDescent="0.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4.25" customHeight="1" x14ac:dyDescent="0.2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4.25" customHeight="1" x14ac:dyDescent="0.2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4.25" customHeight="1" x14ac:dyDescent="0.2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4.25" customHeight="1" x14ac:dyDescent="0.2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4.25" customHeight="1" x14ac:dyDescent="0.2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4.25" customHeight="1" x14ac:dyDescent="0.2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4.25" customHeight="1" x14ac:dyDescent="0.2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4.25" customHeight="1" x14ac:dyDescent="0.2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4.25" customHeight="1" x14ac:dyDescent="0.2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4.25" customHeight="1" x14ac:dyDescent="0.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4.25" customHeight="1" x14ac:dyDescent="0.2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4.25" customHeight="1" x14ac:dyDescent="0.2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4.25" customHeight="1" x14ac:dyDescent="0.2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4.25" customHeight="1" x14ac:dyDescent="0.2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4.25" customHeight="1" x14ac:dyDescent="0.2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4.25" customHeight="1" x14ac:dyDescent="0.2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4.25" customHeight="1" x14ac:dyDescent="0.2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4.25" customHeight="1" x14ac:dyDescent="0.2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4.25" customHeight="1" x14ac:dyDescent="0.2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4.25" customHeight="1" x14ac:dyDescent="0.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4.25" customHeight="1" x14ac:dyDescent="0.2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4.25" customHeight="1" x14ac:dyDescent="0.2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4.25" customHeight="1" x14ac:dyDescent="0.2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4.25" customHeight="1" x14ac:dyDescent="0.2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4.25" customHeight="1" x14ac:dyDescent="0.2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4.25" customHeight="1" x14ac:dyDescent="0.2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4.25" customHeight="1" x14ac:dyDescent="0.2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4.25" customHeight="1" x14ac:dyDescent="0.2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4.25" customHeight="1" x14ac:dyDescent="0.2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4.25" customHeight="1" x14ac:dyDescent="0.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4.25" customHeight="1" x14ac:dyDescent="0.2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4.25" customHeight="1" x14ac:dyDescent="0.2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4.25" customHeight="1" x14ac:dyDescent="0.2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4.25" customHeight="1" x14ac:dyDescent="0.2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4.25" customHeight="1" x14ac:dyDescent="0.2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4.25" customHeight="1" x14ac:dyDescent="0.2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4.25" customHeight="1" x14ac:dyDescent="0.2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4.25" customHeight="1" x14ac:dyDescent="0.2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4.25" customHeight="1" x14ac:dyDescent="0.2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4.25" customHeight="1" x14ac:dyDescent="0.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4.25" customHeight="1" x14ac:dyDescent="0.2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4.25" customHeight="1" x14ac:dyDescent="0.2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4.25" customHeight="1" x14ac:dyDescent="0.2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4.25" customHeight="1" x14ac:dyDescent="0.2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4.25" customHeight="1" x14ac:dyDescent="0.2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4.25" customHeight="1" x14ac:dyDescent="0.2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4.25" customHeight="1" x14ac:dyDescent="0.2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4.25" customHeight="1" x14ac:dyDescent="0.2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4.25" customHeight="1" x14ac:dyDescent="0.2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4.25" customHeight="1" x14ac:dyDescent="0.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4.25" customHeight="1" x14ac:dyDescent="0.2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4.25" customHeight="1" x14ac:dyDescent="0.2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4.25" customHeight="1" x14ac:dyDescent="0.2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4.25" customHeight="1" x14ac:dyDescent="0.2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4.25" customHeight="1" x14ac:dyDescent="0.2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4.25" customHeight="1" x14ac:dyDescent="0.2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4.25" customHeight="1" x14ac:dyDescent="0.2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4.25" customHeight="1" x14ac:dyDescent="0.2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4.25" customHeight="1" x14ac:dyDescent="0.2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4.25" customHeight="1" x14ac:dyDescent="0.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4.25" customHeight="1" x14ac:dyDescent="0.2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4.25" customHeight="1" x14ac:dyDescent="0.2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4.25" customHeight="1" x14ac:dyDescent="0.2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4.25" customHeight="1" x14ac:dyDescent="0.2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4.25" customHeight="1" x14ac:dyDescent="0.2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4.25" customHeight="1" x14ac:dyDescent="0.2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4.25" customHeight="1" x14ac:dyDescent="0.2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4.25" customHeight="1" x14ac:dyDescent="0.2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4.25" customHeight="1" x14ac:dyDescent="0.2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4.25" customHeight="1" x14ac:dyDescent="0.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4.25" customHeight="1" x14ac:dyDescent="0.2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4.25" customHeight="1" x14ac:dyDescent="0.2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4.25" customHeight="1" x14ac:dyDescent="0.2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4.25" customHeight="1" x14ac:dyDescent="0.2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4.25" customHeight="1" x14ac:dyDescent="0.2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4.25" customHeight="1" x14ac:dyDescent="0.2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4.25" customHeight="1" x14ac:dyDescent="0.2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4.25" customHeight="1" x14ac:dyDescent="0.2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4.25" customHeight="1" x14ac:dyDescent="0.2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4.25" customHeight="1" x14ac:dyDescent="0.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4.25" customHeight="1" x14ac:dyDescent="0.2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4.25" customHeight="1" x14ac:dyDescent="0.2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4.25" customHeight="1" x14ac:dyDescent="0.2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4.25" customHeight="1" x14ac:dyDescent="0.2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4.25" customHeight="1" x14ac:dyDescent="0.2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4.25" customHeight="1" x14ac:dyDescent="0.2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4.25" customHeight="1" x14ac:dyDescent="0.2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4.25" customHeight="1" x14ac:dyDescent="0.2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4.25" customHeight="1" x14ac:dyDescent="0.2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4.25" customHeight="1" x14ac:dyDescent="0.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4.25" customHeight="1" x14ac:dyDescent="0.2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4.25" customHeight="1" x14ac:dyDescent="0.2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4.25" customHeight="1" x14ac:dyDescent="0.2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4.25" customHeight="1" x14ac:dyDescent="0.2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4.25" customHeight="1" x14ac:dyDescent="0.2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4.25" customHeight="1" x14ac:dyDescent="0.2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4.25" customHeight="1" x14ac:dyDescent="0.2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4.25" customHeight="1" x14ac:dyDescent="0.2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4.25" customHeight="1" x14ac:dyDescent="0.2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4.25" customHeight="1" x14ac:dyDescent="0.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4.25" customHeight="1" x14ac:dyDescent="0.2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4.25" customHeight="1" x14ac:dyDescent="0.2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4.25" customHeight="1" x14ac:dyDescent="0.2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4.25" customHeight="1" x14ac:dyDescent="0.2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4.25" customHeight="1" x14ac:dyDescent="0.2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4.25" customHeight="1" x14ac:dyDescent="0.2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4.25" customHeight="1" x14ac:dyDescent="0.2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4.25" customHeight="1" x14ac:dyDescent="0.2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4.25" customHeight="1" x14ac:dyDescent="0.2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4.25" customHeight="1" x14ac:dyDescent="0.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4.25" customHeight="1" x14ac:dyDescent="0.2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4.25" customHeight="1" x14ac:dyDescent="0.2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4.25" customHeight="1" x14ac:dyDescent="0.2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4.25" customHeight="1" x14ac:dyDescent="0.2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4.25" customHeight="1" x14ac:dyDescent="0.2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4.25" customHeight="1" x14ac:dyDescent="0.2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4.25" customHeight="1" x14ac:dyDescent="0.2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4.25" customHeight="1" x14ac:dyDescent="0.2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4.25" customHeight="1" x14ac:dyDescent="0.2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4.25" customHeight="1" x14ac:dyDescent="0.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4.25" customHeight="1" x14ac:dyDescent="0.2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4.25" customHeight="1" x14ac:dyDescent="0.2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4.25" customHeight="1" x14ac:dyDescent="0.2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4.25" customHeight="1" x14ac:dyDescent="0.2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4.25" customHeight="1" x14ac:dyDescent="0.2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4.25" customHeight="1" x14ac:dyDescent="0.2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4.25" customHeight="1" x14ac:dyDescent="0.2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4.25" customHeight="1" x14ac:dyDescent="0.2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4.25" customHeight="1" x14ac:dyDescent="0.2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4.25" customHeight="1" x14ac:dyDescent="0.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4.25" customHeight="1" x14ac:dyDescent="0.2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4.25" customHeight="1" x14ac:dyDescent="0.2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4.25" customHeight="1" x14ac:dyDescent="0.2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4.25" customHeight="1" x14ac:dyDescent="0.2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4.25" customHeight="1" x14ac:dyDescent="0.2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4.25" customHeight="1" x14ac:dyDescent="0.2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4.25" customHeight="1" x14ac:dyDescent="0.2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4.25" customHeight="1" x14ac:dyDescent="0.2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4.25" customHeight="1" x14ac:dyDescent="0.2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4.25" customHeight="1" x14ac:dyDescent="0.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4.25" customHeight="1" x14ac:dyDescent="0.2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4.25" customHeight="1" x14ac:dyDescent="0.2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4.25" customHeight="1" x14ac:dyDescent="0.2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4.25" customHeight="1" x14ac:dyDescent="0.2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4.25" customHeight="1" x14ac:dyDescent="0.2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4.25" customHeight="1" x14ac:dyDescent="0.2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4.25" customHeight="1" x14ac:dyDescent="0.2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4.25" customHeight="1" x14ac:dyDescent="0.2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4.25" customHeight="1" x14ac:dyDescent="0.2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4.25" customHeight="1" x14ac:dyDescent="0.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4.25" customHeight="1" x14ac:dyDescent="0.2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4.25" customHeight="1" x14ac:dyDescent="0.2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4.25" customHeight="1" x14ac:dyDescent="0.2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4.25" customHeight="1" x14ac:dyDescent="0.2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4.25" customHeight="1" x14ac:dyDescent="0.2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4.25" customHeight="1" x14ac:dyDescent="0.2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4.25" customHeight="1" x14ac:dyDescent="0.2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4.25" customHeight="1" x14ac:dyDescent="0.2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4.25" customHeight="1" x14ac:dyDescent="0.2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4.25" customHeight="1" x14ac:dyDescent="0.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4.25" customHeight="1" x14ac:dyDescent="0.2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4.25" customHeight="1" x14ac:dyDescent="0.2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4.25" customHeight="1" x14ac:dyDescent="0.2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4.25" customHeight="1" x14ac:dyDescent="0.2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4.25" customHeight="1" x14ac:dyDescent="0.2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4.25" customHeight="1" x14ac:dyDescent="0.2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4.25" customHeight="1" x14ac:dyDescent="0.2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4.25" customHeight="1" x14ac:dyDescent="0.2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4.25" customHeight="1" x14ac:dyDescent="0.2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4.25" customHeight="1" x14ac:dyDescent="0.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4.25" customHeight="1" x14ac:dyDescent="0.2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4.25" customHeight="1" x14ac:dyDescent="0.2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4.25" customHeight="1" x14ac:dyDescent="0.2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4.25" customHeight="1" x14ac:dyDescent="0.2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4.25" customHeight="1" x14ac:dyDescent="0.2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4.25" customHeight="1" x14ac:dyDescent="0.2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4.25" customHeight="1" x14ac:dyDescent="0.2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4.25" customHeight="1" x14ac:dyDescent="0.2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4.25" customHeight="1" x14ac:dyDescent="0.2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4.25" customHeight="1" x14ac:dyDescent="0.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4.25" customHeight="1" x14ac:dyDescent="0.2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4.25" customHeight="1" x14ac:dyDescent="0.2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4.25" customHeight="1" x14ac:dyDescent="0.2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4.25" customHeight="1" x14ac:dyDescent="0.2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4.25" customHeight="1" x14ac:dyDescent="0.2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4.25" customHeight="1" x14ac:dyDescent="0.2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4.25" customHeight="1" x14ac:dyDescent="0.2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4.25" customHeight="1" x14ac:dyDescent="0.2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4.25" customHeight="1" x14ac:dyDescent="0.2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4.25" customHeight="1" x14ac:dyDescent="0.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4.25" customHeight="1" x14ac:dyDescent="0.2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4.25" customHeight="1" x14ac:dyDescent="0.2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4.25" customHeight="1" x14ac:dyDescent="0.2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4.25" customHeight="1" x14ac:dyDescent="0.2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4.25" customHeight="1" x14ac:dyDescent="0.2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4.25" customHeight="1" x14ac:dyDescent="0.2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4.25" customHeight="1" x14ac:dyDescent="0.2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4.25" customHeight="1" x14ac:dyDescent="0.2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4.25" customHeight="1" x14ac:dyDescent="0.2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4.25" customHeight="1" x14ac:dyDescent="0.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4.25" customHeight="1" x14ac:dyDescent="0.2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4.25" customHeight="1" x14ac:dyDescent="0.2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4.25" customHeight="1" x14ac:dyDescent="0.2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4.25" customHeight="1" x14ac:dyDescent="0.2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4.25" customHeight="1" x14ac:dyDescent="0.2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4.25" customHeight="1" x14ac:dyDescent="0.2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4.25" customHeight="1" x14ac:dyDescent="0.2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4.25" customHeight="1" x14ac:dyDescent="0.2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4.25" customHeight="1" x14ac:dyDescent="0.2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4.25" customHeight="1" x14ac:dyDescent="0.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4.25" customHeight="1" x14ac:dyDescent="0.2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4.25" customHeight="1" x14ac:dyDescent="0.2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4.25" customHeight="1" x14ac:dyDescent="0.2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4.25" customHeight="1" x14ac:dyDescent="0.2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4.25" customHeight="1" x14ac:dyDescent="0.2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4.25" customHeight="1" x14ac:dyDescent="0.2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4.25" customHeight="1" x14ac:dyDescent="0.2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4.25" customHeight="1" x14ac:dyDescent="0.2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4.25" customHeight="1" x14ac:dyDescent="0.2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4.25" customHeight="1" x14ac:dyDescent="0.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4.25" customHeight="1" x14ac:dyDescent="0.2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4.25" customHeight="1" x14ac:dyDescent="0.2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4.25" customHeight="1" x14ac:dyDescent="0.2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4.25" customHeight="1" x14ac:dyDescent="0.2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4.25" customHeight="1" x14ac:dyDescent="0.2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4.25" customHeight="1" x14ac:dyDescent="0.2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4.25" customHeight="1" x14ac:dyDescent="0.2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4.25" customHeight="1" x14ac:dyDescent="0.2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4.25" customHeight="1" x14ac:dyDescent="0.2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4.25" customHeight="1" x14ac:dyDescent="0.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4.25" customHeight="1" x14ac:dyDescent="0.2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4.25" customHeight="1" x14ac:dyDescent="0.2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4.25" customHeight="1" x14ac:dyDescent="0.2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4.25" customHeight="1" x14ac:dyDescent="0.2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4.25" customHeight="1" x14ac:dyDescent="0.2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4.25" customHeight="1" x14ac:dyDescent="0.2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4.25" customHeight="1" x14ac:dyDescent="0.2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4.25" customHeight="1" x14ac:dyDescent="0.2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4.25" customHeight="1" x14ac:dyDescent="0.2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4.25" customHeight="1" x14ac:dyDescent="0.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4.25" customHeight="1" x14ac:dyDescent="0.2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4.25" customHeight="1" x14ac:dyDescent="0.2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4.25" customHeight="1" x14ac:dyDescent="0.2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4.25" customHeight="1" x14ac:dyDescent="0.2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4.25" customHeight="1" x14ac:dyDescent="0.2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4.25" customHeight="1" x14ac:dyDescent="0.2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4.25" customHeight="1" x14ac:dyDescent="0.2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4.25" customHeight="1" x14ac:dyDescent="0.2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4.25" customHeight="1" x14ac:dyDescent="0.2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4.25" customHeight="1" x14ac:dyDescent="0.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4.25" customHeight="1" x14ac:dyDescent="0.2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4.25" customHeight="1" x14ac:dyDescent="0.2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4.25" customHeight="1" x14ac:dyDescent="0.2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4.25" customHeight="1" x14ac:dyDescent="0.2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4.25" customHeight="1" x14ac:dyDescent="0.2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4.25" customHeight="1" x14ac:dyDescent="0.2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4.25" customHeight="1" x14ac:dyDescent="0.2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4.25" customHeight="1" x14ac:dyDescent="0.2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4.25" customHeight="1" x14ac:dyDescent="0.2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4.25" customHeight="1" x14ac:dyDescent="0.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4.25" customHeight="1" x14ac:dyDescent="0.2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4.25" customHeight="1" x14ac:dyDescent="0.2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4.25" customHeight="1" x14ac:dyDescent="0.2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4.25" customHeight="1" x14ac:dyDescent="0.2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4.25" customHeight="1" x14ac:dyDescent="0.2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4.25" customHeight="1" x14ac:dyDescent="0.2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4.25" customHeight="1" x14ac:dyDescent="0.2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4.25" customHeight="1" x14ac:dyDescent="0.2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4.25" customHeight="1" x14ac:dyDescent="0.2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4.25" customHeight="1" x14ac:dyDescent="0.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4.25" customHeight="1" x14ac:dyDescent="0.2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4.25" customHeight="1" x14ac:dyDescent="0.2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4.25" customHeight="1" x14ac:dyDescent="0.2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4.25" customHeight="1" x14ac:dyDescent="0.2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4.25" customHeight="1" x14ac:dyDescent="0.2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4.25" customHeight="1" x14ac:dyDescent="0.2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4.25" customHeight="1" x14ac:dyDescent="0.2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4.25" customHeight="1" x14ac:dyDescent="0.2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4.25" customHeight="1" x14ac:dyDescent="0.2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4.25" customHeight="1" x14ac:dyDescent="0.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4.25" customHeight="1" x14ac:dyDescent="0.2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4.25" customHeight="1" x14ac:dyDescent="0.2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4.25" customHeight="1" x14ac:dyDescent="0.2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4.25" customHeight="1" x14ac:dyDescent="0.2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4.25" customHeight="1" x14ac:dyDescent="0.2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4.25" customHeight="1" x14ac:dyDescent="0.2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4.25" customHeight="1" x14ac:dyDescent="0.2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4.25" customHeight="1" x14ac:dyDescent="0.2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4.25" customHeight="1" x14ac:dyDescent="0.2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4.25" customHeight="1" x14ac:dyDescent="0.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4.25" customHeight="1" x14ac:dyDescent="0.2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4.25" customHeight="1" x14ac:dyDescent="0.2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4.25" customHeight="1" x14ac:dyDescent="0.2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4.25" customHeight="1" x14ac:dyDescent="0.2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4.25" customHeight="1" x14ac:dyDescent="0.2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4.25" customHeight="1" x14ac:dyDescent="0.2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4.25" customHeight="1" x14ac:dyDescent="0.2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4.25" customHeight="1" x14ac:dyDescent="0.2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4.25" customHeight="1" x14ac:dyDescent="0.2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4.25" customHeight="1" x14ac:dyDescent="0.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4.25" customHeight="1" x14ac:dyDescent="0.2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4.25" customHeight="1" x14ac:dyDescent="0.2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4.25" customHeight="1" x14ac:dyDescent="0.2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4.25" customHeight="1" x14ac:dyDescent="0.2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4.25" customHeight="1" x14ac:dyDescent="0.2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4.25" customHeight="1" x14ac:dyDescent="0.2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4.25" customHeight="1" x14ac:dyDescent="0.2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4.25" customHeight="1" x14ac:dyDescent="0.2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4.25" customHeight="1" x14ac:dyDescent="0.2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4.25" customHeight="1" x14ac:dyDescent="0.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4.25" customHeight="1" x14ac:dyDescent="0.2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4.25" customHeight="1" x14ac:dyDescent="0.2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4.25" customHeight="1" x14ac:dyDescent="0.2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4.25" customHeight="1" x14ac:dyDescent="0.2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4.25" customHeight="1" x14ac:dyDescent="0.2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4.25" customHeight="1" x14ac:dyDescent="0.2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4.25" customHeight="1" x14ac:dyDescent="0.2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4.25" customHeight="1" x14ac:dyDescent="0.2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4.25" customHeight="1" x14ac:dyDescent="0.2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4.25" customHeight="1" x14ac:dyDescent="0.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4.25" customHeight="1" x14ac:dyDescent="0.2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4.25" customHeight="1" x14ac:dyDescent="0.2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4.25" customHeight="1" x14ac:dyDescent="0.2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4.25" customHeight="1" x14ac:dyDescent="0.2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4.25" customHeight="1" x14ac:dyDescent="0.2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4.25" customHeight="1" x14ac:dyDescent="0.2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4.25" customHeight="1" x14ac:dyDescent="0.2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4.25" customHeight="1" x14ac:dyDescent="0.2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4.25" customHeight="1" x14ac:dyDescent="0.2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4.25" customHeight="1" x14ac:dyDescent="0.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4.25" customHeight="1" x14ac:dyDescent="0.2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4.25" customHeight="1" x14ac:dyDescent="0.2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4.25" customHeight="1" x14ac:dyDescent="0.2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4.25" customHeight="1" x14ac:dyDescent="0.2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4.25" customHeight="1" x14ac:dyDescent="0.2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4.25" customHeight="1" x14ac:dyDescent="0.2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4.25" customHeight="1" x14ac:dyDescent="0.2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4.25" customHeight="1" x14ac:dyDescent="0.2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4.25" customHeight="1" x14ac:dyDescent="0.2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4.25" customHeight="1" x14ac:dyDescent="0.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4.25" customHeight="1" x14ac:dyDescent="0.2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4.25" customHeight="1" x14ac:dyDescent="0.2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4.25" customHeight="1" x14ac:dyDescent="0.2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4.25" customHeight="1" x14ac:dyDescent="0.2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4.25" customHeight="1" x14ac:dyDescent="0.2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4.25" customHeight="1" x14ac:dyDescent="0.2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4.25" customHeight="1" x14ac:dyDescent="0.2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4.25" customHeight="1" x14ac:dyDescent="0.2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4.25" customHeight="1" x14ac:dyDescent="0.2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4.25" customHeight="1" x14ac:dyDescent="0.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4.25" customHeight="1" x14ac:dyDescent="0.2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4.25" customHeight="1" x14ac:dyDescent="0.2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4.25" customHeight="1" x14ac:dyDescent="0.2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4.25" customHeight="1" x14ac:dyDescent="0.2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4.25" customHeight="1" x14ac:dyDescent="0.2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4.25" customHeight="1" x14ac:dyDescent="0.2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4.25" customHeight="1" x14ac:dyDescent="0.2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4.25" customHeight="1" x14ac:dyDescent="0.2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4.25" customHeight="1" x14ac:dyDescent="0.2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4.25" customHeight="1" x14ac:dyDescent="0.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4.25" customHeight="1" x14ac:dyDescent="0.2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4.25" customHeight="1" x14ac:dyDescent="0.2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4.25" customHeight="1" x14ac:dyDescent="0.2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4.25" customHeight="1" x14ac:dyDescent="0.2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4.25" customHeight="1" x14ac:dyDescent="0.2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4.25" customHeight="1" x14ac:dyDescent="0.2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4.25" customHeight="1" x14ac:dyDescent="0.2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4.25" customHeight="1" x14ac:dyDescent="0.2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4.25" customHeight="1" x14ac:dyDescent="0.2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4.25" customHeight="1" x14ac:dyDescent="0.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4.25" customHeight="1" x14ac:dyDescent="0.2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4.25" customHeight="1" x14ac:dyDescent="0.2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4.25" customHeight="1" x14ac:dyDescent="0.2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4.25" customHeight="1" x14ac:dyDescent="0.2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4.25" customHeight="1" x14ac:dyDescent="0.2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4.25" customHeight="1" x14ac:dyDescent="0.2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4.25" customHeight="1" x14ac:dyDescent="0.2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4.25" customHeight="1" x14ac:dyDescent="0.2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4.25" customHeight="1" x14ac:dyDescent="0.2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4.25" customHeight="1" x14ac:dyDescent="0.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4.25" customHeight="1" x14ac:dyDescent="0.2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4.25" customHeight="1" x14ac:dyDescent="0.2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4.25" customHeight="1" x14ac:dyDescent="0.2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4.25" customHeight="1" x14ac:dyDescent="0.2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4.25" customHeight="1" x14ac:dyDescent="0.2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4.25" customHeight="1" x14ac:dyDescent="0.2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4.25" customHeight="1" x14ac:dyDescent="0.2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4.25" customHeight="1" x14ac:dyDescent="0.2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4.25" customHeight="1" x14ac:dyDescent="0.2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4.25" customHeight="1" x14ac:dyDescent="0.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4.25" customHeight="1" x14ac:dyDescent="0.2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4.25" customHeight="1" x14ac:dyDescent="0.2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4.25" customHeight="1" x14ac:dyDescent="0.2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4.25" customHeight="1" x14ac:dyDescent="0.2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4.25" customHeight="1" x14ac:dyDescent="0.2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4.25" customHeight="1" x14ac:dyDescent="0.2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4.25" customHeight="1" x14ac:dyDescent="0.2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4.25" customHeight="1" x14ac:dyDescent="0.2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4.25" customHeight="1" x14ac:dyDescent="0.2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4.25" customHeight="1" x14ac:dyDescent="0.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4.25" customHeight="1" x14ac:dyDescent="0.2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4.25" customHeight="1" x14ac:dyDescent="0.2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4.25" customHeight="1" x14ac:dyDescent="0.2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4.25" customHeight="1" x14ac:dyDescent="0.2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4.25" customHeight="1" x14ac:dyDescent="0.2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4.25" customHeight="1" x14ac:dyDescent="0.2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4.25" customHeight="1" x14ac:dyDescent="0.2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4.25" customHeight="1" x14ac:dyDescent="0.2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4.25" customHeight="1" x14ac:dyDescent="0.2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4.25" customHeight="1" x14ac:dyDescent="0.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4.25" customHeight="1" x14ac:dyDescent="0.2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4.25" customHeight="1" x14ac:dyDescent="0.2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4.25" customHeight="1" x14ac:dyDescent="0.2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4.25" customHeight="1" x14ac:dyDescent="0.2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4.25" customHeight="1" x14ac:dyDescent="0.2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4.25" customHeight="1" x14ac:dyDescent="0.2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4.25" customHeight="1" x14ac:dyDescent="0.2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4.25" customHeight="1" x14ac:dyDescent="0.2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4.25" customHeight="1" x14ac:dyDescent="0.2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4.25" customHeight="1" x14ac:dyDescent="0.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4.25" customHeight="1" x14ac:dyDescent="0.2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4.25" customHeight="1" x14ac:dyDescent="0.2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4.25" customHeight="1" x14ac:dyDescent="0.2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4.25" customHeight="1" x14ac:dyDescent="0.2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4.25" customHeight="1" x14ac:dyDescent="0.2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4.25" customHeight="1" x14ac:dyDescent="0.2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4.25" customHeight="1" x14ac:dyDescent="0.2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4.25" customHeight="1" x14ac:dyDescent="0.2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4.25" customHeight="1" x14ac:dyDescent="0.2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4.25" customHeight="1" x14ac:dyDescent="0.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4.25" customHeight="1" x14ac:dyDescent="0.2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4.25" customHeight="1" x14ac:dyDescent="0.2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4.25" customHeight="1" x14ac:dyDescent="0.2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4.25" customHeight="1" x14ac:dyDescent="0.2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4.25" customHeight="1" x14ac:dyDescent="0.2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4.25" customHeight="1" x14ac:dyDescent="0.2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4.25" customHeight="1" x14ac:dyDescent="0.2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4.25" customHeight="1" x14ac:dyDescent="0.2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4.25" customHeight="1" x14ac:dyDescent="0.2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4.25" customHeight="1" x14ac:dyDescent="0.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4.25" customHeight="1" x14ac:dyDescent="0.2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4.25" customHeight="1" x14ac:dyDescent="0.2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4.25" customHeight="1" x14ac:dyDescent="0.2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4.25" customHeight="1" x14ac:dyDescent="0.2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4.25" customHeight="1" x14ac:dyDescent="0.2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4.25" customHeight="1" x14ac:dyDescent="0.2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4.25" customHeight="1" x14ac:dyDescent="0.2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4.25" customHeight="1" x14ac:dyDescent="0.2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4.25" customHeight="1" x14ac:dyDescent="0.2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4.25" customHeight="1" x14ac:dyDescent="0.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4.25" customHeight="1" x14ac:dyDescent="0.2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4.25" customHeight="1" x14ac:dyDescent="0.2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4.25" customHeight="1" x14ac:dyDescent="0.2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4.25" customHeight="1" x14ac:dyDescent="0.2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4.25" customHeight="1" x14ac:dyDescent="0.2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4.25" customHeight="1" x14ac:dyDescent="0.2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4.25" customHeight="1" x14ac:dyDescent="0.2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4.25" customHeight="1" x14ac:dyDescent="0.2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4.25" customHeight="1" x14ac:dyDescent="0.2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4.25" customHeight="1" x14ac:dyDescent="0.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4.25" customHeight="1" x14ac:dyDescent="0.2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4.25" customHeight="1" x14ac:dyDescent="0.2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4.25" customHeight="1" x14ac:dyDescent="0.2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4.25" customHeight="1" x14ac:dyDescent="0.2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4.25" customHeight="1" x14ac:dyDescent="0.2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4.25" customHeight="1" x14ac:dyDescent="0.2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4.25" customHeight="1" x14ac:dyDescent="0.2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4.25" customHeight="1" x14ac:dyDescent="0.2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4.25" customHeight="1" x14ac:dyDescent="0.2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4.25" customHeight="1" x14ac:dyDescent="0.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4.25" customHeight="1" x14ac:dyDescent="0.2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4.25" customHeight="1" x14ac:dyDescent="0.2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4.25" customHeight="1" x14ac:dyDescent="0.2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4.25" customHeight="1" x14ac:dyDescent="0.2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4.25" customHeight="1" x14ac:dyDescent="0.2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4.25" customHeight="1" x14ac:dyDescent="0.2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4.25" customHeight="1" x14ac:dyDescent="0.2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4.25" customHeight="1" x14ac:dyDescent="0.2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4.25" customHeight="1" x14ac:dyDescent="0.2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4.25" customHeight="1" x14ac:dyDescent="0.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4.25" customHeight="1" x14ac:dyDescent="0.2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4.25" customHeight="1" x14ac:dyDescent="0.2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4.25" customHeight="1" x14ac:dyDescent="0.2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4.25" customHeight="1" x14ac:dyDescent="0.2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4.25" customHeight="1" x14ac:dyDescent="0.2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4.25" customHeight="1" x14ac:dyDescent="0.2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4.25" customHeight="1" x14ac:dyDescent="0.2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4.25" customHeight="1" x14ac:dyDescent="0.2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4.25" customHeight="1" x14ac:dyDescent="0.2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4.25" customHeight="1" x14ac:dyDescent="0.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4.25" customHeight="1" x14ac:dyDescent="0.2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4.25" customHeight="1" x14ac:dyDescent="0.2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4.25" customHeight="1" x14ac:dyDescent="0.2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4.25" customHeight="1" x14ac:dyDescent="0.2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4.25" customHeight="1" x14ac:dyDescent="0.2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4.25" customHeight="1" x14ac:dyDescent="0.2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4.25" customHeight="1" x14ac:dyDescent="0.2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4.25" customHeight="1" x14ac:dyDescent="0.2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4.25" customHeight="1" x14ac:dyDescent="0.2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4.25" customHeight="1" x14ac:dyDescent="0.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4.25" customHeight="1" x14ac:dyDescent="0.2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4.25" customHeight="1" x14ac:dyDescent="0.2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4.25" customHeight="1" x14ac:dyDescent="0.2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4.25" customHeight="1" x14ac:dyDescent="0.2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4.25" customHeight="1" x14ac:dyDescent="0.2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4.25" customHeight="1" x14ac:dyDescent="0.2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4.25" customHeight="1" x14ac:dyDescent="0.2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4.25" customHeight="1" x14ac:dyDescent="0.2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4.25" customHeight="1" x14ac:dyDescent="0.2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4.25" customHeight="1" x14ac:dyDescent="0.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4.25" customHeight="1" x14ac:dyDescent="0.2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4.25" customHeight="1" x14ac:dyDescent="0.2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4.25" customHeight="1" x14ac:dyDescent="0.2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4.25" customHeight="1" x14ac:dyDescent="0.2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4.25" customHeight="1" x14ac:dyDescent="0.2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4.25" customHeight="1" x14ac:dyDescent="0.2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4.25" customHeight="1" x14ac:dyDescent="0.2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4.25" customHeight="1" x14ac:dyDescent="0.2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4.25" customHeight="1" x14ac:dyDescent="0.2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4.25" customHeight="1" x14ac:dyDescent="0.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4.25" customHeight="1" x14ac:dyDescent="0.2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4.25" customHeight="1" x14ac:dyDescent="0.2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4.25" customHeight="1" x14ac:dyDescent="0.2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4.25" customHeight="1" x14ac:dyDescent="0.2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4.25" customHeight="1" x14ac:dyDescent="0.2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4.25" customHeight="1" x14ac:dyDescent="0.2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4.25" customHeight="1" x14ac:dyDescent="0.2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4.25" customHeight="1" x14ac:dyDescent="0.2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4.25" customHeight="1" x14ac:dyDescent="0.2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4.25" customHeight="1" x14ac:dyDescent="0.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4.25" customHeight="1" x14ac:dyDescent="0.2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4.25" customHeight="1" x14ac:dyDescent="0.2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4.25" customHeight="1" x14ac:dyDescent="0.2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4.25" customHeight="1" x14ac:dyDescent="0.2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4.25" customHeight="1" x14ac:dyDescent="0.2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4.25" customHeight="1" x14ac:dyDescent="0.2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4.25" customHeight="1" x14ac:dyDescent="0.2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4.25" customHeight="1" x14ac:dyDescent="0.2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4.25" customHeight="1" x14ac:dyDescent="0.2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4.25" customHeight="1" x14ac:dyDescent="0.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4.25" customHeight="1" x14ac:dyDescent="0.2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4.25" customHeight="1" x14ac:dyDescent="0.2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4.25" customHeight="1" x14ac:dyDescent="0.2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4.25" customHeight="1" x14ac:dyDescent="0.2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4.25" customHeight="1" x14ac:dyDescent="0.2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4.25" customHeight="1" x14ac:dyDescent="0.2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4.25" customHeight="1" x14ac:dyDescent="0.2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4.25" customHeight="1" x14ac:dyDescent="0.2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4.25" customHeight="1" x14ac:dyDescent="0.2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4.25" customHeight="1" x14ac:dyDescent="0.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4.25" customHeight="1" x14ac:dyDescent="0.2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4.25" customHeight="1" x14ac:dyDescent="0.2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4.25" customHeight="1" x14ac:dyDescent="0.2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4.25" customHeight="1" x14ac:dyDescent="0.2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4.25" customHeight="1" x14ac:dyDescent="0.2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4.25" customHeight="1" x14ac:dyDescent="0.2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4.25" customHeight="1" x14ac:dyDescent="0.2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4.25" customHeight="1" x14ac:dyDescent="0.2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4.25" customHeight="1" x14ac:dyDescent="0.2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4.25" customHeight="1" x14ac:dyDescent="0.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4.25" customHeight="1" x14ac:dyDescent="0.2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4.25" customHeight="1" x14ac:dyDescent="0.2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4.25" customHeight="1" x14ac:dyDescent="0.2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4.25" customHeight="1" x14ac:dyDescent="0.2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4.25" customHeight="1" x14ac:dyDescent="0.2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4.25" customHeight="1" x14ac:dyDescent="0.2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4.25" customHeight="1" x14ac:dyDescent="0.2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4.25" customHeight="1" x14ac:dyDescent="0.2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4.25" customHeight="1" x14ac:dyDescent="0.2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4.25" customHeight="1" x14ac:dyDescent="0.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4.25" customHeight="1" x14ac:dyDescent="0.2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4.25" customHeight="1" x14ac:dyDescent="0.2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4.25" customHeight="1" x14ac:dyDescent="0.2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4.25" customHeight="1" x14ac:dyDescent="0.2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4.25" customHeight="1" x14ac:dyDescent="0.2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4.25" customHeight="1" x14ac:dyDescent="0.2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4.25" customHeight="1" x14ac:dyDescent="0.2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4.25" customHeight="1" x14ac:dyDescent="0.2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4.25" customHeight="1" x14ac:dyDescent="0.2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4.25" customHeight="1" x14ac:dyDescent="0.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4.25" customHeight="1" x14ac:dyDescent="0.2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4.25" customHeight="1" x14ac:dyDescent="0.2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4.25" customHeight="1" x14ac:dyDescent="0.2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4.25" customHeight="1" x14ac:dyDescent="0.2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4.25" customHeight="1" x14ac:dyDescent="0.2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4.25" customHeight="1" x14ac:dyDescent="0.2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4.25" customHeight="1" x14ac:dyDescent="0.2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4.25" customHeight="1" x14ac:dyDescent="0.2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4.25" customHeight="1" x14ac:dyDescent="0.2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4.25" customHeight="1" x14ac:dyDescent="0.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4.25" customHeight="1" x14ac:dyDescent="0.2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4.25" customHeight="1" x14ac:dyDescent="0.2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4.25" customHeight="1" x14ac:dyDescent="0.2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4.25" customHeight="1" x14ac:dyDescent="0.2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4.25" customHeight="1" x14ac:dyDescent="0.2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4.25" customHeight="1" x14ac:dyDescent="0.2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4.25" customHeight="1" x14ac:dyDescent="0.2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4.25" customHeight="1" x14ac:dyDescent="0.2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4.25" customHeight="1" x14ac:dyDescent="0.2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4.25" customHeight="1" x14ac:dyDescent="0.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4.25" customHeight="1" x14ac:dyDescent="0.2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4.25" customHeight="1" x14ac:dyDescent="0.2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4.25" customHeight="1" x14ac:dyDescent="0.2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4.25" customHeight="1" x14ac:dyDescent="0.2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4.25" customHeight="1" x14ac:dyDescent="0.2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4.25" customHeight="1" x14ac:dyDescent="0.2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4.25" customHeight="1" x14ac:dyDescent="0.2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4.25" customHeight="1" x14ac:dyDescent="0.2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4.25" customHeight="1" x14ac:dyDescent="0.2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4.25" customHeight="1" x14ac:dyDescent="0.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4.25" customHeight="1" x14ac:dyDescent="0.2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4.25" customHeight="1" x14ac:dyDescent="0.2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4.25" customHeight="1" x14ac:dyDescent="0.2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4.25" customHeight="1" x14ac:dyDescent="0.2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4.25" customHeight="1" x14ac:dyDescent="0.2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4.25" customHeight="1" x14ac:dyDescent="0.2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4.25" customHeight="1" x14ac:dyDescent="0.2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4.25" customHeight="1" x14ac:dyDescent="0.2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4.25" customHeight="1" x14ac:dyDescent="0.2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4.25" customHeight="1" x14ac:dyDescent="0.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4.25" customHeight="1" x14ac:dyDescent="0.2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4.25" customHeight="1" x14ac:dyDescent="0.2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4.25" customHeight="1" x14ac:dyDescent="0.2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4.25" customHeight="1" x14ac:dyDescent="0.2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4.25" customHeight="1" x14ac:dyDescent="0.2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4.25" customHeight="1" x14ac:dyDescent="0.2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4.25" customHeight="1" x14ac:dyDescent="0.2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4.25" customHeight="1" x14ac:dyDescent="0.2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4.25" customHeight="1" x14ac:dyDescent="0.2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4.25" customHeight="1" x14ac:dyDescent="0.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4.25" customHeight="1" x14ac:dyDescent="0.2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4.25" customHeight="1" x14ac:dyDescent="0.2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4.25" customHeight="1" x14ac:dyDescent="0.2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4.25" customHeight="1" x14ac:dyDescent="0.2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4.25" customHeight="1" x14ac:dyDescent="0.2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4.25" customHeight="1" x14ac:dyDescent="0.2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4.25" customHeight="1" x14ac:dyDescent="0.2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4.25" customHeight="1" x14ac:dyDescent="0.2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4.25" customHeight="1" x14ac:dyDescent="0.2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4.25" customHeight="1" x14ac:dyDescent="0.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4.25" customHeight="1" x14ac:dyDescent="0.2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4.25" customHeight="1" x14ac:dyDescent="0.2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4.25" customHeight="1" x14ac:dyDescent="0.2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4.25" customHeight="1" x14ac:dyDescent="0.2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4.25" customHeight="1" x14ac:dyDescent="0.2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4.25" customHeight="1" x14ac:dyDescent="0.2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4.25" customHeight="1" x14ac:dyDescent="0.2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4.25" customHeight="1" x14ac:dyDescent="0.2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4.25" customHeight="1" x14ac:dyDescent="0.2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4.25" customHeight="1" x14ac:dyDescent="0.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4.25" customHeight="1" x14ac:dyDescent="0.2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4.25" customHeight="1" x14ac:dyDescent="0.2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4.25" customHeight="1" x14ac:dyDescent="0.2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4.25" customHeight="1" x14ac:dyDescent="0.2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4.25" customHeight="1" x14ac:dyDescent="0.2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4.25" customHeight="1" x14ac:dyDescent="0.2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4.25" customHeight="1" x14ac:dyDescent="0.2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4.25" customHeight="1" x14ac:dyDescent="0.2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4.25" customHeight="1" x14ac:dyDescent="0.2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4.25" customHeight="1" x14ac:dyDescent="0.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4.25" customHeight="1" x14ac:dyDescent="0.2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4.25" customHeight="1" x14ac:dyDescent="0.2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4.25" customHeight="1" x14ac:dyDescent="0.2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4.25" customHeight="1" x14ac:dyDescent="0.2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4.25" customHeight="1" x14ac:dyDescent="0.2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4.25" customHeight="1" x14ac:dyDescent="0.2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4.25" customHeight="1" x14ac:dyDescent="0.2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4.25" customHeight="1" x14ac:dyDescent="0.2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4.25" customHeight="1" x14ac:dyDescent="0.2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4.25" customHeight="1" x14ac:dyDescent="0.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4.25" customHeight="1" x14ac:dyDescent="0.2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4.25" customHeight="1" x14ac:dyDescent="0.2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4.25" customHeight="1" x14ac:dyDescent="0.2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4.25" customHeight="1" x14ac:dyDescent="0.2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4.25" customHeight="1" x14ac:dyDescent="0.2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4.25" customHeight="1" x14ac:dyDescent="0.2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4.25" customHeight="1" x14ac:dyDescent="0.2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4.25" customHeight="1" x14ac:dyDescent="0.2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4.25" customHeight="1" x14ac:dyDescent="0.2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4.25" customHeight="1" x14ac:dyDescent="0.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4.25" customHeight="1" x14ac:dyDescent="0.2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4.25" customHeight="1" x14ac:dyDescent="0.2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4.25" customHeight="1" x14ac:dyDescent="0.2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4.25" customHeight="1" x14ac:dyDescent="0.2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4.25" customHeight="1" x14ac:dyDescent="0.2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4.25" customHeight="1" x14ac:dyDescent="0.2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4.25" customHeight="1" x14ac:dyDescent="0.2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4.25" customHeight="1" x14ac:dyDescent="0.2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4.25" customHeight="1" x14ac:dyDescent="0.2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4.25" customHeight="1" x14ac:dyDescent="0.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4.25" customHeight="1" x14ac:dyDescent="0.2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4.25" customHeight="1" x14ac:dyDescent="0.2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4.25" customHeight="1" x14ac:dyDescent="0.2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4.25" customHeight="1" x14ac:dyDescent="0.2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4.25" customHeight="1" x14ac:dyDescent="0.2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4.25" customHeight="1" x14ac:dyDescent="0.2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4.25" customHeight="1" x14ac:dyDescent="0.2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4.25" customHeight="1" x14ac:dyDescent="0.2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4.25" customHeight="1" x14ac:dyDescent="0.2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4.25" customHeight="1" x14ac:dyDescent="0.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4.25" customHeight="1" x14ac:dyDescent="0.2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4.25" customHeight="1" x14ac:dyDescent="0.2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4.25" customHeight="1" x14ac:dyDescent="0.2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4.25" customHeight="1" x14ac:dyDescent="0.2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4.25" customHeight="1" x14ac:dyDescent="0.2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4.25" customHeight="1" x14ac:dyDescent="0.2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4.25" customHeight="1" x14ac:dyDescent="0.2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4.25" customHeight="1" x14ac:dyDescent="0.2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4.25" customHeight="1" x14ac:dyDescent="0.2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4.25" customHeight="1" x14ac:dyDescent="0.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4.25" customHeight="1" x14ac:dyDescent="0.2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4.25" customHeight="1" x14ac:dyDescent="0.2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4.25" customHeight="1" x14ac:dyDescent="0.2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4.25" customHeight="1" x14ac:dyDescent="0.2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4.25" customHeight="1" x14ac:dyDescent="0.2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4.25" customHeight="1" x14ac:dyDescent="0.2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4.25" customHeight="1" x14ac:dyDescent="0.2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4.25" customHeight="1" x14ac:dyDescent="0.2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4.25" customHeight="1" x14ac:dyDescent="0.2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4.25" customHeight="1" x14ac:dyDescent="0.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4.25" customHeight="1" x14ac:dyDescent="0.2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4.25" customHeight="1" x14ac:dyDescent="0.2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4.25" customHeight="1" x14ac:dyDescent="0.2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4.25" customHeight="1" x14ac:dyDescent="0.2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4.25" customHeight="1" x14ac:dyDescent="0.2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4.25" customHeight="1" x14ac:dyDescent="0.2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4.25" customHeight="1" x14ac:dyDescent="0.2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4.25" customHeight="1" x14ac:dyDescent="0.2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4.25" customHeight="1" x14ac:dyDescent="0.2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4.25" customHeight="1" x14ac:dyDescent="0.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4.25" customHeight="1" x14ac:dyDescent="0.2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4.25" customHeight="1" x14ac:dyDescent="0.2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4.25" customHeight="1" x14ac:dyDescent="0.2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4.25" customHeight="1" x14ac:dyDescent="0.2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4.25" customHeight="1" x14ac:dyDescent="0.2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4.25" customHeight="1" x14ac:dyDescent="0.2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4.25" customHeight="1" x14ac:dyDescent="0.2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4.25" customHeight="1" x14ac:dyDescent="0.2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4.25" customHeight="1" x14ac:dyDescent="0.2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4.25" customHeight="1" x14ac:dyDescent="0.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4.25" customHeight="1" x14ac:dyDescent="0.2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4.25" customHeight="1" x14ac:dyDescent="0.2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4.25" customHeight="1" x14ac:dyDescent="0.2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4.25" customHeight="1" x14ac:dyDescent="0.2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4.25" customHeight="1" x14ac:dyDescent="0.2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4.25" customHeight="1" x14ac:dyDescent="0.2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4.25" customHeight="1" x14ac:dyDescent="0.2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4.25" customHeight="1" x14ac:dyDescent="0.2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4.25" customHeight="1" x14ac:dyDescent="0.2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4.25" customHeight="1" x14ac:dyDescent="0.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4.25" customHeight="1" x14ac:dyDescent="0.2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4.25" customHeight="1" x14ac:dyDescent="0.2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4.25" customHeight="1" x14ac:dyDescent="0.2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4.25" customHeight="1" x14ac:dyDescent="0.2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4.25" customHeight="1" x14ac:dyDescent="0.2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4.25" customHeight="1" x14ac:dyDescent="0.2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4.25" customHeight="1" x14ac:dyDescent="0.2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4.25" customHeight="1" x14ac:dyDescent="0.2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4.25" customHeight="1" x14ac:dyDescent="0.2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4.25" customHeight="1" x14ac:dyDescent="0.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4.25" customHeight="1" x14ac:dyDescent="0.2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4.25" customHeight="1" x14ac:dyDescent="0.2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4.25" customHeight="1" x14ac:dyDescent="0.2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4.25" customHeight="1" x14ac:dyDescent="0.2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4.25" customHeight="1" x14ac:dyDescent="0.2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4.25" customHeight="1" x14ac:dyDescent="0.2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4.25" customHeight="1" x14ac:dyDescent="0.2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4.25" customHeight="1" x14ac:dyDescent="0.2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4.25" customHeight="1" x14ac:dyDescent="0.2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4.25" customHeight="1" x14ac:dyDescent="0.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4.25" customHeight="1" x14ac:dyDescent="0.2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4.25" customHeight="1" x14ac:dyDescent="0.2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4.25" customHeight="1" x14ac:dyDescent="0.2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4.25" customHeight="1" x14ac:dyDescent="0.2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4.25" customHeight="1" x14ac:dyDescent="0.2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4.25" customHeight="1" x14ac:dyDescent="0.2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4.25" customHeight="1" x14ac:dyDescent="0.2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4.25" customHeight="1" x14ac:dyDescent="0.2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4.25" customHeight="1" x14ac:dyDescent="0.2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4.25" customHeight="1" x14ac:dyDescent="0.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4.25" customHeight="1" x14ac:dyDescent="0.2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4.25" customHeight="1" x14ac:dyDescent="0.2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4.25" customHeight="1" x14ac:dyDescent="0.2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4.25" customHeight="1" x14ac:dyDescent="0.2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4.25" customHeight="1" x14ac:dyDescent="0.2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4.25" customHeight="1" x14ac:dyDescent="0.2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4.25" customHeight="1" x14ac:dyDescent="0.2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4.25" customHeight="1" x14ac:dyDescent="0.2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4.25" customHeight="1" x14ac:dyDescent="0.2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4.25" customHeight="1" x14ac:dyDescent="0.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4.25" customHeight="1" x14ac:dyDescent="0.2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4.25" customHeight="1" x14ac:dyDescent="0.2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4.25" customHeight="1" x14ac:dyDescent="0.2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4.25" customHeight="1" x14ac:dyDescent="0.2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4.25" customHeight="1" x14ac:dyDescent="0.2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4.25" customHeight="1" x14ac:dyDescent="0.2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4.25" customHeight="1" x14ac:dyDescent="0.2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4.25" customHeight="1" x14ac:dyDescent="0.2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4.25" customHeight="1" x14ac:dyDescent="0.2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4.25" customHeight="1" x14ac:dyDescent="0.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4.25" customHeight="1" x14ac:dyDescent="0.2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4.25" customHeight="1" x14ac:dyDescent="0.2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4.25" customHeight="1" x14ac:dyDescent="0.2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4.25" customHeight="1" x14ac:dyDescent="0.2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4.25" customHeight="1" x14ac:dyDescent="0.2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4.25" customHeight="1" x14ac:dyDescent="0.2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4.25" customHeight="1" x14ac:dyDescent="0.2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4.25" customHeight="1" x14ac:dyDescent="0.2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4.25" customHeight="1" x14ac:dyDescent="0.2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4.25" customHeight="1" x14ac:dyDescent="0.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4.25" customHeight="1" x14ac:dyDescent="0.2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4.25" customHeight="1" x14ac:dyDescent="0.2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4.25" customHeight="1" x14ac:dyDescent="0.2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4.25" customHeight="1" x14ac:dyDescent="0.2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4.25" customHeight="1" x14ac:dyDescent="0.2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4.25" customHeight="1" x14ac:dyDescent="0.2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4.25" customHeight="1" x14ac:dyDescent="0.2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4.25" customHeight="1" x14ac:dyDescent="0.2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4.25" customHeight="1" x14ac:dyDescent="0.2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4.25" customHeight="1" x14ac:dyDescent="0.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4.25" customHeight="1" x14ac:dyDescent="0.2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4.25" customHeight="1" x14ac:dyDescent="0.2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4.25" customHeight="1" x14ac:dyDescent="0.2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4.25" customHeight="1" x14ac:dyDescent="0.2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4.25" customHeight="1" x14ac:dyDescent="0.2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4.25" customHeight="1" x14ac:dyDescent="0.2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4.25" customHeight="1" x14ac:dyDescent="0.2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4.25" customHeight="1" x14ac:dyDescent="0.2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4.25" customHeight="1" x14ac:dyDescent="0.2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4.25" customHeight="1" x14ac:dyDescent="0.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4.25" customHeight="1" x14ac:dyDescent="0.2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4.25" customHeight="1" x14ac:dyDescent="0.2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4.25" customHeight="1" x14ac:dyDescent="0.2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4.25" customHeight="1" x14ac:dyDescent="0.2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4.25" customHeight="1" x14ac:dyDescent="0.2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4.25" customHeight="1" x14ac:dyDescent="0.2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4.25" customHeight="1" x14ac:dyDescent="0.2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4.25" customHeight="1" x14ac:dyDescent="0.2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4.25" customHeight="1" x14ac:dyDescent="0.2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4.25" customHeight="1" x14ac:dyDescent="0.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4.25" customHeight="1" x14ac:dyDescent="0.2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4.25" customHeight="1" x14ac:dyDescent="0.2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4.25" customHeight="1" x14ac:dyDescent="0.2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4.25" customHeight="1" x14ac:dyDescent="0.2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4.25" customHeight="1" x14ac:dyDescent="0.2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4.25" customHeight="1" x14ac:dyDescent="0.2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4.25" customHeight="1" x14ac:dyDescent="0.2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4.25" customHeight="1" x14ac:dyDescent="0.2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4.25" customHeight="1" x14ac:dyDescent="0.2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4.25" customHeight="1" x14ac:dyDescent="0.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4.25" customHeight="1" x14ac:dyDescent="0.2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4.25" customHeight="1" x14ac:dyDescent="0.2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4.25" customHeight="1" x14ac:dyDescent="0.2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4.25" customHeight="1" x14ac:dyDescent="0.2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4.25" customHeight="1" x14ac:dyDescent="0.2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4.25" customHeight="1" x14ac:dyDescent="0.2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4.25" customHeight="1" x14ac:dyDescent="0.2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4.25" customHeight="1" x14ac:dyDescent="0.2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4.25" customHeight="1" x14ac:dyDescent="0.2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4.25" customHeight="1" x14ac:dyDescent="0.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4.25" customHeight="1" x14ac:dyDescent="0.2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4.25" customHeight="1" x14ac:dyDescent="0.2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4.25" customHeight="1" x14ac:dyDescent="0.2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4.25" customHeight="1" x14ac:dyDescent="0.2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4.25" customHeight="1" x14ac:dyDescent="0.2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4.25" customHeight="1" x14ac:dyDescent="0.2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4.25" customHeight="1" x14ac:dyDescent="0.2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4.25" customHeight="1" x14ac:dyDescent="0.2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4.25" customHeight="1" x14ac:dyDescent="0.2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4.25" customHeight="1" x14ac:dyDescent="0.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4.25" customHeight="1" x14ac:dyDescent="0.2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4.25" customHeight="1" x14ac:dyDescent="0.2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4.25" customHeight="1" x14ac:dyDescent="0.2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4.25" customHeight="1" x14ac:dyDescent="0.2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4.25" customHeight="1" x14ac:dyDescent="0.2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4.25" customHeight="1" x14ac:dyDescent="0.2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4.25" customHeight="1" x14ac:dyDescent="0.2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4.25" customHeight="1" x14ac:dyDescent="0.2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4.25" customHeight="1" x14ac:dyDescent="0.2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4.25" customHeight="1" x14ac:dyDescent="0.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4.25" customHeight="1" x14ac:dyDescent="0.2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4.25" customHeight="1" x14ac:dyDescent="0.2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4.25" customHeight="1" x14ac:dyDescent="0.2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4.25" customHeight="1" x14ac:dyDescent="0.2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4.25" customHeight="1" x14ac:dyDescent="0.2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4.25" customHeight="1" x14ac:dyDescent="0.2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4.25" customHeight="1" x14ac:dyDescent="0.2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4.25" customHeight="1" x14ac:dyDescent="0.2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4.25" customHeight="1" x14ac:dyDescent="0.2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4.25" customHeight="1" x14ac:dyDescent="0.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4.25" customHeight="1" x14ac:dyDescent="0.2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4.25" customHeight="1" x14ac:dyDescent="0.2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4.25" customHeight="1" x14ac:dyDescent="0.2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4.25" customHeight="1" x14ac:dyDescent="0.2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4.25" customHeight="1" x14ac:dyDescent="0.2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4.25" customHeight="1" x14ac:dyDescent="0.2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4.25" customHeight="1" x14ac:dyDescent="0.2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4.25" customHeight="1" x14ac:dyDescent="0.2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FP Details</vt:lpstr>
      <vt:lpstr>Dropdown List - Do Not 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Shrenik Bhandari</dc:creator>
  <cp:lastModifiedBy>Gaurav Jain</cp:lastModifiedBy>
  <dcterms:created xsi:type="dcterms:W3CDTF">2015-06-05T18:17:20Z</dcterms:created>
  <dcterms:modified xsi:type="dcterms:W3CDTF">2026-01-15T16:41:00Z</dcterms:modified>
</cp:coreProperties>
</file>